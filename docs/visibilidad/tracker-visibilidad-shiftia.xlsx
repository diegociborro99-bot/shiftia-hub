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rectorios" sheetId="2" state="visible" r:id="rId2"/>
    <sheet name="Reseñas" sheetId="3" state="visible" r:id="rId3"/>
    <sheet name="Prensa" sheetId="4" state="visible" r:id="rId4"/>
    <sheet name="LinkedIn" sheetId="5" state="visible" r:id="rId5"/>
    <sheet name="GEO mensual" sheetId="6" state="visible" r:id="rId6"/>
    <sheet name="GSC quick wins" sheetId="7" state="visible" r:id="rId7"/>
  </sheets>
  <definedNames>
    <definedName name="_xlnm._FilterDatabase" localSheetId="1" hidden="1">'Directorios'!$A$2:$F$12</definedName>
    <definedName name="_xlnm._FilterDatabase" localSheetId="2" hidden="1">'Reseñas'!$A$2:$I$7</definedName>
    <definedName name="_xlnm._FilterDatabase" localSheetId="3" hidden="1">'Prensa'!$A$2:$I$9</definedName>
    <definedName name="_xlnm._FilterDatabase" localSheetId="4" hidden="1">'LinkedIn'!$A$2:$K$14</definedName>
    <definedName name="_xlnm._FilterDatabase" localSheetId="5" hidden="1">'GEO mensual'!$A$2:$L$46</definedName>
    <definedName name="_xlnm._FilterDatabase" localSheetId="6" hidden="1">'GSC quick wins'!$A$2:$P$5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+0%;-0%;0%"/>
    <numFmt numFmtId="166" formatCode="DD/MM/YYYY"/>
    <numFmt numFmtId="167" formatCode="0.0%"/>
    <numFmt numFmtId="168" formatCode="+0.0;-0.0;0"/>
  </numFmts>
  <fonts count="6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  <sz val="11"/>
    </font>
    <font>
      <b val="1"/>
      <color rgb="001F3A5F"/>
      <sz val="14"/>
    </font>
    <font>
      <b val="1"/>
    </font>
    <font>
      <color rgb="00555555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vertical="top" wrapText="1"/>
    </xf>
    <xf numFmtId="0" fontId="0" fillId="0" borderId="4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6" fontId="0" fillId="0" borderId="0" pivotButton="0" quotePrefix="0" xfId="0"/>
    <xf numFmtId="166" fontId="0" fillId="0" borderId="1" pivotButton="0" quotePrefix="0" xfId="0"/>
    <xf numFmtId="167" fontId="0" fillId="0" borderId="1" applyAlignment="1" pivotButton="0" quotePrefix="0" xfId="0">
      <alignment vertical="top" wrapText="1"/>
    </xf>
    <xf numFmtId="167" fontId="0" fillId="0" borderId="1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167" fontId="0" fillId="0" borderId="1" applyAlignment="1" pivotButton="0" quotePrefix="0" xfId="0">
      <alignment horizontal="center" vertical="top" wrapText="1"/>
    </xf>
    <xf numFmtId="168" fontId="0" fillId="0" borderId="1" applyAlignment="1" pivotButton="0" quotePrefix="0" xfId="0">
      <alignment horizontal="center" vertical="top" wrapText="1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6" fontId="0" fillId="0" borderId="1" applyAlignment="1" pivotButton="0" quotePrefix="0" xfId="0">
      <alignment vertical="top" wrapText="1"/>
    </xf>
    <xf numFmtId="166" fontId="0" fillId="0" borderId="0" pivotButton="0" quotePrefix="0" xfId="0"/>
    <xf numFmtId="166" fontId="0" fillId="0" borderId="1" pivotButton="0" quotePrefix="0" xfId="0"/>
    <xf numFmtId="167" fontId="0" fillId="0" borderId="1" applyAlignment="1" pivotButton="0" quotePrefix="0" xfId="0">
      <alignment vertical="top" wrapText="1"/>
    </xf>
    <xf numFmtId="167" fontId="0" fillId="0" borderId="1" pivotButton="0" quotePrefix="0" xfId="0"/>
    <xf numFmtId="167" fontId="0" fillId="0" borderId="1" applyAlignment="1" pivotButton="0" quotePrefix="0" xfId="0">
      <alignment horizontal="center" vertical="top" wrapText="1"/>
    </xf>
    <xf numFmtId="168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3F3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70" customWidth="1" min="3" max="3"/>
  </cols>
  <sheetData>
    <row r="1">
      <c r="A1" s="1" t="inlineStr">
        <is>
          <t>Tracker de visibilidad Shiftia — resumen</t>
        </is>
      </c>
    </row>
    <row r="2">
      <c r="A2" s="14" t="inlineStr">
        <is>
          <t>Todos los contadores se calculan solos desde las demás pestañas. Solo se rellenan a mano las filas de 'Marca (GSC)' y las notas del mes.</t>
        </is>
      </c>
    </row>
    <row r="4">
      <c r="A4" s="3" t="inlineStr">
        <is>
          <t>Directorios (bloque 1)</t>
        </is>
      </c>
      <c r="B4" s="4" t="n"/>
      <c r="C4" s="4" t="n"/>
    </row>
    <row r="5">
      <c r="A5" s="5" t="inlineStr">
        <is>
          <t>Publicados</t>
        </is>
      </c>
      <c r="B5" s="6">
        <f>COUNTIF(Directorios!$C$3:$C$27,"Publicado")</f>
        <v/>
      </c>
      <c r="C5" s="7" t="inlineStr">
        <is>
          <t>Objetivo: los 10 precargados en 4-6 semanas.</t>
        </is>
      </c>
    </row>
    <row r="6">
      <c r="A6" s="5" t="inlineStr">
        <is>
          <t>En curso</t>
        </is>
      </c>
      <c r="B6" s="6">
        <f>COUNTIF(Directorios!$C$3:$C$27,"En curso")</f>
        <v/>
      </c>
      <c r="C6" s="7" t="inlineStr"/>
    </row>
    <row r="7">
      <c r="A7" s="5" t="inlineStr">
        <is>
          <t>Pendientes</t>
        </is>
      </c>
      <c r="B7" s="6">
        <f>COUNTIF(Directorios!$C$3:$C$27,"Pendiente")</f>
        <v/>
      </c>
      <c r="C7" s="7" t="inlineStr"/>
    </row>
    <row r="9">
      <c r="A9" s="3" t="inlineStr">
        <is>
          <t>Reseñas (paso 1.4)</t>
        </is>
      </c>
      <c r="B9" s="4" t="n"/>
      <c r="C9" s="4" t="n"/>
    </row>
    <row r="10">
      <c r="A10" s="5" t="inlineStr">
        <is>
          <t>Publicadas (reseña o testimonio)</t>
        </is>
      </c>
      <c r="B10" s="6">
        <f>COUNTIF(Reseñas!$F$3:$F$22,"Publicada")+COUNTIF(Reseñas!$F$3:$F$22,"Testimonio")</f>
        <v/>
      </c>
      <c r="C10" s="7" t="inlineStr">
        <is>
          <t>Objetivo del plan: 3-5 en 2 semanas.</t>
        </is>
      </c>
    </row>
    <row r="11">
      <c r="A11" s="5" t="inlineStr">
        <is>
          <t>Enviadas / en recordatorio</t>
        </is>
      </c>
      <c r="B11" s="6">
        <f>COUNTIF(Reseñas!$F$3:$F$22,"Enviado")+COUNTIF(Reseñas!$F$3:$F$22,"Recordatorio")</f>
        <v/>
      </c>
      <c r="C11" s="7" t="inlineStr"/>
    </row>
    <row r="12">
      <c r="A12" s="5" t="inlineStr">
        <is>
          <t>Pendientes de enviar</t>
        </is>
      </c>
      <c r="B12" s="6">
        <f>COUNTIF(Reseñas!$F$3:$F$22,"Pendiente")</f>
        <v/>
      </c>
      <c r="C12" s="7" t="inlineStr"/>
    </row>
    <row r="13">
      <c r="A13" s="5" t="inlineStr">
        <is>
          <t>Declinaron / sin respuesta</t>
        </is>
      </c>
      <c r="B13" s="6">
        <f>COUNTIF(Reseñas!$F$3:$F$22,"Declinó")+COUNTIF(Reseñas!$F$3:$F$22,"Sin respuesta")</f>
        <v/>
      </c>
      <c r="C13" s="7" t="inlineStr"/>
    </row>
    <row r="15">
      <c r="A15" s="3" t="inlineStr">
        <is>
          <t>Prensa y listados (paso 2.1 y sección 4.1)</t>
        </is>
      </c>
      <c r="B15" s="4" t="n"/>
      <c r="C15" s="4" t="n"/>
    </row>
    <row r="16">
      <c r="A16" s="5" t="inlineStr">
        <is>
          <t>Publicados</t>
        </is>
      </c>
      <c r="B16" s="6">
        <f>COUNTIF(Prensa!$G$3:$G$24,"Publicado")</f>
        <v/>
      </c>
      <c r="C16" s="7" t="inlineStr"/>
    </row>
    <row r="17">
      <c r="A17" s="5" t="inlineStr">
        <is>
          <t>Respondidos (en conversación)</t>
        </is>
      </c>
      <c r="B17" s="6">
        <f>COUNTIF(Prensa!$G$3:$G$24,"Respondido")</f>
        <v/>
      </c>
      <c r="C17" s="7" t="inlineStr"/>
    </row>
    <row r="18">
      <c r="A18" s="5" t="inlineStr">
        <is>
          <t>Enviados / en seguimiento</t>
        </is>
      </c>
      <c r="B18" s="6">
        <f>COUNTIF(Prensa!$G$3:$G$24,"Enviado")+COUNTIF(Prensa!$G$3:$G$24,"Seguimiento")</f>
        <v/>
      </c>
      <c r="C18" s="7" t="inlineStr"/>
    </row>
    <row r="19">
      <c r="A19" s="5" t="inlineStr">
        <is>
          <t>Pendientes de enviar</t>
        </is>
      </c>
      <c r="B19" s="6">
        <f>COUNTIF(Prensa!$G$3:$G$24,"Pendiente")</f>
        <v/>
      </c>
      <c r="C19" s="7" t="inlineStr"/>
    </row>
    <row r="20">
      <c r="A20" s="5" t="inlineStr">
        <is>
          <t>Declinados / sin respuesta</t>
        </is>
      </c>
      <c r="B20" s="6">
        <f>COUNTIF(Prensa!$G$3:$G$24,"Declinado")+COUNTIF(Prensa!$G$3:$G$24,"Sin respuesta")</f>
        <v/>
      </c>
      <c r="C20" s="7" t="inlineStr"/>
    </row>
    <row r="22">
      <c r="A22" s="3" t="inlineStr">
        <is>
          <t>LinkedIn (paso 2.2)</t>
        </is>
      </c>
      <c r="B22" s="4" t="n"/>
      <c r="C22" s="4" t="n"/>
    </row>
    <row r="23">
      <c r="A23" s="5" t="inlineStr">
        <is>
          <t>Posts publicados en perfil</t>
        </is>
      </c>
      <c r="B23" s="6">
        <f>COUNTIF(LinkedIn!$E$3:$E$38,"Sí")</f>
        <v/>
      </c>
      <c r="C23" s="7" t="inlineStr">
        <is>
          <t>1 post/semana. Las 12 semanas del calendario están precargadas.</t>
        </is>
      </c>
    </row>
    <row r="24">
      <c r="A24" s="5" t="inlineStr">
        <is>
          <t>Posts publicados en página</t>
        </is>
      </c>
      <c r="B24" s="6">
        <f>COUNTIF(LinkedIn!$F$3:$F$38,"Sí")</f>
        <v/>
      </c>
      <c r="C24" s="7" t="inlineStr"/>
    </row>
    <row r="25">
      <c r="A25" s="5" t="inlineStr">
        <is>
          <t>Posts planificados sin publicar</t>
        </is>
      </c>
      <c r="B25" s="6">
        <f>COUNTIF(LinkedIn!$E$3:$E$38,"No")</f>
        <v/>
      </c>
      <c r="C25" s="7" t="inlineStr"/>
    </row>
    <row r="26">
      <c r="A26" s="5" t="inlineStr">
        <is>
          <t>Impresiones acumuladas</t>
        </is>
      </c>
      <c r="B26" s="6">
        <f>SUM(LinkedIn!$G$3:$G$38)</f>
        <v/>
      </c>
      <c r="C26" s="7" t="inlineStr"/>
    </row>
    <row r="27">
      <c r="A27" s="5" t="inlineStr">
        <is>
          <t>Media de impresiones por post publicado</t>
        </is>
      </c>
      <c r="B27" s="6">
        <f>IF(COUNTIF(LinkedIn!$E$3:$E$38,"Sí")=0,"",SUMIF(LinkedIn!$E$3:$E$38,"Sí",LinkedIn!$G$3:$G$38)/COUNTIF(LinkedIn!$E$3:$E$38,"Sí"))</f>
        <v/>
      </c>
      <c r="C27" s="7" t="inlineStr"/>
    </row>
    <row r="29">
      <c r="A29" s="3" t="inlineStr">
        <is>
          <t>GEO mensual (paso 4.2) — mes indicado en B:</t>
        </is>
      </c>
      <c r="B29" s="4" t="n"/>
      <c r="C29" s="4" t="n"/>
    </row>
    <row r="30">
      <c r="A30" s="5" t="inlineStr">
        <is>
          <t>Mes a resumir (AAAA-MM)</t>
        </is>
      </c>
      <c r="B30" s="8" t="inlineStr">
        <is>
          <t>2026-09</t>
        </is>
      </c>
      <c r="C30" s="7" t="inlineStr">
        <is>
          <t>Cambia este valor para ver otro mes.</t>
        </is>
      </c>
    </row>
    <row r="31">
      <c r="A31" s="5" t="inlineStr">
        <is>
          <t>Respuestas registradas (puntuadas)</t>
        </is>
      </c>
      <c r="B31" s="6">
        <f>COUNTIFS('GEO mensual'!$A$3:$A$178,$B$30,'GEO mensual'!$K$3:$K$178,"&lt;&gt;")</f>
        <v/>
      </c>
      <c r="C31" s="7" t="inlineStr">
        <is>
          <t>44 = 11 consultas × 4 motores.</t>
        </is>
      </c>
    </row>
    <row r="32">
      <c r="A32" s="5" t="inlineStr">
        <is>
          <t>Veces que aparece Shiftia</t>
        </is>
      </c>
      <c r="B32" s="6">
        <f>COUNTIFS('GEO mensual'!$A$3:$A$178,$B$30,'GEO mensual'!$E$3:$E$178,"Sí")</f>
        <v/>
      </c>
      <c r="C32" s="7" t="inlineStr"/>
    </row>
    <row r="33">
      <c r="A33" s="5" t="inlineStr">
        <is>
          <t>% de apariciones</t>
        </is>
      </c>
      <c r="B33" s="9">
        <f>IF(B31=0,"",B32/B31)</f>
        <v/>
      </c>
      <c r="C33" s="7" t="inlineStr"/>
    </row>
    <row r="34">
      <c r="A34" s="5" t="inlineStr">
        <is>
          <t>Puntuación media 0-10</t>
        </is>
      </c>
      <c r="B34" s="26">
        <f>IF(COUNTIFS('GEO mensual'!$A$3:$A$178,$B$30,'GEO mensual'!$K$3:$K$178,"&lt;&gt;")=0,"",AVERAGEIFS('GEO mensual'!$K$3:$K$178,'GEO mensual'!$A$3:$A$178,$B$30))</f>
        <v/>
      </c>
      <c r="C34" s="7" t="inlineStr">
        <is>
          <t>0-1 invisibles · 2-4 aparece en algunas · 5-7 objetivo 6 meses · 8-10 objetivo 12 meses.</t>
        </is>
      </c>
    </row>
    <row r="35">
      <c r="A35" s="5" t="inlineStr">
        <is>
          <t>Media ChatGPT</t>
        </is>
      </c>
      <c r="B35" s="26">
        <f>IF(COUNTIFS('GEO mensual'!$A$3:$A$178,$B$30,'GEO mensual'!$D$3:$D$178,"ChatGPT (búsqueda web)",'GEO mensual'!$K$3:$K$178,"&lt;&gt;")=0,"",AVERAGEIFS('GEO mensual'!$K$3:$K$178,'GEO mensual'!$A$3:$A$178,$B$30,'GEO mensual'!$D$3:$D$178,"ChatGPT (búsqueda web)"))</f>
        <v/>
      </c>
      <c r="C35" s="7" t="inlineStr"/>
    </row>
    <row r="36">
      <c r="A36" s="5" t="inlineStr">
        <is>
          <t>Media Claude</t>
        </is>
      </c>
      <c r="B36" s="26">
        <f>IF(COUNTIFS('GEO mensual'!$A$3:$A$178,$B$30,'GEO mensual'!$D$3:$D$178,"Claude",'GEO mensual'!$K$3:$K$178,"&lt;&gt;")=0,"",AVERAGEIFS('GEO mensual'!$K$3:$K$178,'GEO mensual'!$A$3:$A$178,$B$30,'GEO mensual'!$D$3:$D$178,"Claude"))</f>
        <v/>
      </c>
      <c r="C36" s="7" t="inlineStr"/>
    </row>
    <row r="37">
      <c r="A37" s="5" t="inlineStr">
        <is>
          <t>Media Perplexity</t>
        </is>
      </c>
      <c r="B37" s="26">
        <f>IF(COUNTIFS('GEO mensual'!$A$3:$A$178,$B$30,'GEO mensual'!$D$3:$D$178,"Perplexity",'GEO mensual'!$K$3:$K$178,"&lt;&gt;")=0,"",AVERAGEIFS('GEO mensual'!$K$3:$K$178,'GEO mensual'!$A$3:$A$178,$B$30,'GEO mensual'!$D$3:$D$178,"Perplexity"))</f>
        <v/>
      </c>
      <c r="C37" s="7" t="inlineStr"/>
    </row>
    <row r="38">
      <c r="A38" s="5" t="inlineStr">
        <is>
          <t>Media Gemini</t>
        </is>
      </c>
      <c r="B38" s="26">
        <f>IF(COUNTIFS('GEO mensual'!$A$3:$A$178,$B$30,'GEO mensual'!$D$3:$D$178,"Gemini",'GEO mensual'!$K$3:$K$178,"&lt;&gt;")=0,"",AVERAGEIFS('GEO mensual'!$K$3:$K$178,'GEO mensual'!$A$3:$A$178,$B$30,'GEO mensual'!$D$3:$D$178,"Gemini"))</f>
        <v/>
      </c>
      <c r="C38" s="7" t="inlineStr"/>
    </row>
    <row r="39">
      <c r="A39" s="5" t="inlineStr">
        <is>
          <t>Respuestas con precio incorrecto</t>
        </is>
      </c>
      <c r="B39" s="6">
        <f>COUNTIFS('GEO mensual'!$A$3:$A$178,$B$30,'GEO mensual'!$I$3:$I$178,"No")</f>
        <v/>
      </c>
      <c r="C39" s="7" t="inlineStr">
        <is>
          <t>Cada una es una fuente que corregir (sección 3.5 del kit).</t>
        </is>
      </c>
    </row>
    <row r="40">
      <c r="A40" s="5" t="inlineStr">
        <is>
          <t>Respuestas con descripción incorrecta</t>
        </is>
      </c>
      <c r="B40" s="6">
        <f>COUNTIFS('GEO mensual'!$A$3:$A$178,$B$30,'GEO mensual'!$J$3:$J$178,"No")</f>
        <v/>
      </c>
      <c r="C40" s="7" t="inlineStr">
        <is>
          <t>Vigilar sobre todo si nos llaman ETT o bolsa de personal.</t>
        </is>
      </c>
    </row>
    <row r="42">
      <c r="A42" s="3" t="inlineStr">
        <is>
          <t>GSC quick wins (paso 4.1)</t>
        </is>
      </c>
      <c r="B42" s="4" t="n"/>
      <c r="C42" s="4" t="n"/>
    </row>
    <row r="43">
      <c r="A43" s="5" t="inlineStr">
        <is>
          <t>Quick wins detectados (pos. 4-15, ≥ 20 impr.)</t>
        </is>
      </c>
      <c r="B43" s="6">
        <f>COUNTIF('GSC quick wins'!$M$3:$M$45,"Quick win")</f>
        <v/>
      </c>
      <c r="C43" s="7" t="inlineStr"/>
    </row>
    <row r="44">
      <c r="A44" s="5" t="inlineStr">
        <is>
          <t>Títulos rotos (CTR &lt; 2 % en pos. 1-5)</t>
        </is>
      </c>
      <c r="B44" s="6">
        <f>COUNTIF('GSC quick wins'!$M$3:$M$45,"Título roto")</f>
        <v/>
      </c>
      <c r="C44" s="7" t="inlineStr"/>
    </row>
    <row r="45">
      <c r="A45" s="5" t="inlineStr">
        <is>
          <t>Acciones pendientes</t>
        </is>
      </c>
      <c r="B45" s="6">
        <f>COUNTIF('GSC quick wins'!$G$3:$G$45,"Pendiente")+COUNTIF('GSC quick wins'!$G$3:$G$45,"Reescribir título/meta")+COUNTIF('GSC quick wins'!$G$3:$G$45,"Optimizar H1 + primer párrafo")+COUNTIF('GSC quick wins'!$G$3:$G$45,"Enlazar internamente")</f>
        <v/>
      </c>
      <c r="C45" s="7" t="inlineStr"/>
    </row>
    <row r="46">
      <c r="A46" s="5" t="inlineStr">
        <is>
          <t>Acciones hechas</t>
        </is>
      </c>
      <c r="B46" s="6">
        <f>COUNTIF('GSC quick wins'!$G$3:$G$45,"Hecho")</f>
        <v/>
      </c>
      <c r="C46" s="7" t="inlineStr"/>
    </row>
    <row r="48">
      <c r="A48" s="3" t="inlineStr">
        <is>
          <t>Marca (GSC) — rellenar a mano cada mes</t>
        </is>
      </c>
      <c r="B48" s="4" t="n"/>
      <c r="C48" s="4" t="n"/>
    </row>
    <row r="49">
      <c r="A49" s="5" t="inlineStr">
        <is>
          <t>Impresiones de marca (últimos 3 meses)</t>
        </is>
      </c>
      <c r="B49" s="8" t="n"/>
      <c r="C49" s="7" t="inlineStr">
        <is>
          <t>Regex (?i)shiftia|shifia|siftia|shifita|shiftya|shitia en Rendimiento → Consultas.</t>
        </is>
      </c>
    </row>
    <row r="50">
      <c r="A50" s="5" t="inlineStr">
        <is>
          <t>Impresiones de marca (periodo anterior)</t>
        </is>
      </c>
      <c r="B50" s="8" t="n"/>
      <c r="C50" s="7" t="inlineStr"/>
    </row>
    <row r="51">
      <c r="A51" s="5" t="inlineStr">
        <is>
          <t>Variación</t>
        </is>
      </c>
      <c r="B51" s="27">
        <f>IF(OR(B50="",B50=0),"",(B49-B50)/B50)</f>
        <v/>
      </c>
      <c r="C51" s="7" t="inlineStr">
        <is>
          <t>Se calcula sola.</t>
        </is>
      </c>
    </row>
    <row r="52">
      <c r="A52" s="5" t="inlineStr">
        <is>
          <t>Clics de marca (últimos 3 meses)</t>
        </is>
      </c>
      <c r="B52" s="8" t="n"/>
      <c r="C52" s="7" t="inlineStr"/>
    </row>
    <row r="53" ht="48" customHeight="1">
      <c r="A53" s="5" t="inlineStr">
        <is>
          <t>Notas del mes</t>
        </is>
      </c>
      <c r="B53" s="12" t="n"/>
      <c r="C53" s="13" t="n"/>
    </row>
    <row r="55">
      <c r="A55" s="14" t="inlineStr">
        <is>
          <t>Amarillo = celda que se rellena a mano. El resto son fórmulas: no las sobrescribas.</t>
        </is>
      </c>
    </row>
  </sheetData>
  <mergeCells count="1">
    <mergeCell ref="B53:C5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4" customWidth="1" min="3" max="3"/>
    <col width="13" customWidth="1" min="4" max="4"/>
    <col width="45" customWidth="1" min="5" max="5"/>
    <col width="70" customWidth="1" min="6" max="6"/>
  </cols>
  <sheetData>
    <row r="1">
      <c r="A1" s="14" t="inlineStr">
        <is>
          <t>Bloque 1 del plan (pasos 1.1-1.3 y 2.3). Estado: Pendiente / En curso / Publicado. Fecha = día en que se cambia el estado. Añade filas para cualquier directorio que citen los motores de IA (pestaña GEO mensual).</t>
        </is>
      </c>
    </row>
    <row r="2">
      <c r="A2" s="15" t="inlineStr">
        <is>
          <t>Plataforma</t>
        </is>
      </c>
      <c r="B2" s="15" t="inlineStr">
        <is>
          <t>URL de alta</t>
        </is>
      </c>
      <c r="C2" s="15" t="inlineStr">
        <is>
          <t>Estado</t>
        </is>
      </c>
      <c r="D2" s="15" t="inlineStr">
        <is>
          <t>Fecha</t>
        </is>
      </c>
      <c r="E2" s="15" t="inlineStr">
        <is>
          <t>URL de la ficha</t>
        </is>
      </c>
      <c r="F2" s="15" t="inlineStr">
        <is>
          <t>Notas</t>
        </is>
      </c>
    </row>
    <row r="3">
      <c r="A3" s="16" t="inlineStr">
        <is>
          <t>SoftDoit</t>
        </is>
      </c>
      <c r="B3" s="16" t="inlineStr">
        <is>
          <t>https://www.softwaredoit.es/registra-solucion-de-software/index.html</t>
        </is>
      </c>
      <c r="C3" s="16" t="inlineStr">
        <is>
          <t>Pendiente</t>
        </is>
      </c>
      <c r="D3" s="28" t="n"/>
      <c r="E3" s="16" t="inlineStr"/>
      <c r="F3" s="16" t="inlineStr">
        <is>
          <t>Ficha básica gratuita. Categorías: Software de gestión de turnos y Software para residencias. Descripción del paso 1.1 del plan.</t>
        </is>
      </c>
    </row>
    <row r="4">
      <c r="A4" s="16" t="inlineStr">
        <is>
          <t>Capterra</t>
        </is>
      </c>
      <c r="B4" s="16" t="inlineStr">
        <is>
          <t>https://www.capterra.com/vendors/sign-up</t>
        </is>
      </c>
      <c r="C4" s="16" t="inlineStr">
        <is>
          <t>Pendiente</t>
        </is>
      </c>
      <c r="D4" s="28" t="n"/>
      <c r="E4" s="16" t="inlineStr"/>
      <c r="F4" s="16" t="inlineStr">
        <is>
          <t>Un solo alta de Gartner Digital Markets cubre Capterra, GetApp y Software Advice. Categoría: Employee Scheduling / Nurse Scheduling. Logo + 3-5 capturas + descripción en español e inglés.</t>
        </is>
      </c>
    </row>
    <row r="5">
      <c r="A5" s="16" t="inlineStr">
        <is>
          <t>GetApp</t>
        </is>
      </c>
      <c r="B5" s="16" t="inlineStr">
        <is>
          <t>https://www.capterra.com/vendors/sign-up</t>
        </is>
      </c>
      <c r="C5" s="16" t="inlineStr">
        <is>
          <t>Pendiente</t>
        </is>
      </c>
      <c r="D5" s="28" t="n"/>
      <c r="E5" s="16" t="inlineStr"/>
      <c r="F5" s="16" t="inlineStr">
        <is>
          <t>Se crea automáticamente con el alta de Capterra. Comprobar que la ficha aparece y guardar su URL.</t>
        </is>
      </c>
    </row>
    <row r="6">
      <c r="A6" s="16" t="inlineStr">
        <is>
          <t>Software Advice</t>
        </is>
      </c>
      <c r="B6" s="16" t="inlineStr">
        <is>
          <t>https://www.capterra.com/vendors/sign-up</t>
        </is>
      </c>
      <c r="C6" s="16" t="inlineStr">
        <is>
          <t>Pendiente</t>
        </is>
      </c>
      <c r="D6" s="28" t="n"/>
      <c r="E6" s="16" t="inlineStr"/>
      <c r="F6" s="16" t="inlineStr">
        <is>
          <t>Se crea automáticamente con el alta de Capterra. Comprobar que la ficha aparece y guardar su URL.</t>
        </is>
      </c>
    </row>
    <row r="7">
      <c r="A7" s="16" t="inlineStr">
        <is>
          <t>Google Business Profile</t>
        </is>
      </c>
      <c r="B7" s="16" t="inlineStr">
        <is>
          <t>https://business.google.com</t>
        </is>
      </c>
      <c r="C7" s="16" t="inlineStr">
        <is>
          <t>Pendiente</t>
        </is>
      </c>
      <c r="D7" s="28" t="n"/>
      <c r="E7" s="16" t="inlineStr"/>
      <c r="F7" s="16" t="inlineStr">
        <is>
          <t>Perfil 'Shiftia' en Oviedo, categoría Empresa de software. Web, teléfono, horario, logo y 2-3 fotos. Da el enlace corto de reseñas.</t>
        </is>
      </c>
    </row>
    <row r="8">
      <c r="A8" s="16" t="inlineStr">
        <is>
          <t>Crunchbase</t>
        </is>
      </c>
      <c r="B8" s="16" t="inlineStr">
        <is>
          <t>https://www.crunchbase.com/add-new</t>
        </is>
      </c>
      <c r="C8" s="16" t="inlineStr">
        <is>
          <t>Pendiente</t>
        </is>
      </c>
      <c r="D8" s="28" t="n"/>
      <c r="E8" s="16" t="inlineStr"/>
      <c r="F8" s="16" t="inlineStr">
        <is>
          <t>Perfil de empresa: Shiftia (Highkey Labs Software Solutions), Oviedo, fundador Diego Ciborro. Fuente de entidades para los LLM. [COMPROBAR URL DE ALTA]</t>
        </is>
      </c>
    </row>
    <row r="9">
      <c r="A9" s="16" t="inlineStr">
        <is>
          <t>Product Hunt</t>
        </is>
      </c>
      <c r="B9" s="16" t="inlineStr">
        <is>
          <t>https://www.producthunt.com/posts/new</t>
        </is>
      </c>
      <c r="C9" s="16" t="inlineStr">
        <is>
          <t>Pendiente</t>
        </is>
      </c>
      <c r="D9" s="28" t="n"/>
      <c r="E9" s="16" t="inlineStr"/>
      <c r="F9" s="16" t="inlineStr">
        <is>
          <t>Opcional. Lanzamiento con vídeo de 30 s de ShiftiaCore. Elegir martes o miércoles. [COMPROBAR URL DE ALTA]</t>
        </is>
      </c>
    </row>
    <row r="10">
      <c r="A10" s="16" t="inlineStr">
        <is>
          <t>G2</t>
        </is>
      </c>
      <c r="B10" s="16" t="inlineStr">
        <is>
          <t>https://www.g2.com</t>
        </is>
      </c>
      <c r="C10" s="16" t="inlineStr">
        <is>
          <t>Pendiente</t>
        </is>
      </c>
      <c r="D10" s="28" t="n"/>
      <c r="E10" s="16" t="inlineStr"/>
      <c r="F10" s="16" t="inlineStr">
        <is>
          <t>Reclamar/crear perfil de producto en G2 (sección para vendedores). Categoría Employee Scheduling. [COMPROBAR URL DE ALTA]</t>
        </is>
      </c>
    </row>
    <row r="11">
      <c r="A11" s="16" t="inlineStr">
        <is>
          <t>Comparasoftware</t>
        </is>
      </c>
      <c r="B11" s="16" t="inlineStr">
        <is>
          <t>https://www.comparasoftware.com</t>
        </is>
      </c>
      <c r="C11" s="16" t="inlineStr">
        <is>
          <t>Pendiente</t>
        </is>
      </c>
      <c r="D11" s="28" t="n"/>
      <c r="E11" s="16" t="inlineStr"/>
      <c r="F11" s="16" t="inlineStr">
        <is>
          <t>Directorio en español (España y Latinoamérica). Buscar 'Registrar software' en su web. [COMPROBAR URL DE ALTA]</t>
        </is>
      </c>
    </row>
    <row r="12">
      <c r="A12" s="16" t="inlineStr">
        <is>
          <t>AppVizer</t>
        </is>
      </c>
      <c r="B12" s="16" t="inlineStr">
        <is>
          <t>https://www.appvizer.es</t>
        </is>
      </c>
      <c r="C12" s="16" t="inlineStr">
        <is>
          <t>Pendiente</t>
        </is>
      </c>
      <c r="D12" s="28" t="n"/>
      <c r="E12" s="16" t="inlineStr"/>
      <c r="F12" s="16" t="inlineStr">
        <is>
          <t>Directorio europeo con edición en español. Buscar 'Añadir mi software' en su web. [COMPROBAR URL DE ALTA]</t>
        </is>
      </c>
    </row>
    <row r="13">
      <c r="D13" s="29" t="n"/>
    </row>
    <row r="14">
      <c r="D14" s="29" t="n"/>
    </row>
    <row r="15">
      <c r="D15" s="29" t="n"/>
    </row>
    <row r="16">
      <c r="D16" s="29" t="n"/>
    </row>
    <row r="17">
      <c r="D17" s="29" t="n"/>
    </row>
    <row r="18">
      <c r="D18" s="29" t="n"/>
    </row>
    <row r="19">
      <c r="D19" s="29" t="n"/>
    </row>
    <row r="20">
      <c r="D20" s="29" t="n"/>
    </row>
    <row r="21">
      <c r="D21" s="29" t="n"/>
    </row>
    <row r="22">
      <c r="D22" s="29" t="n"/>
    </row>
    <row r="23">
      <c r="D23" s="29" t="n"/>
    </row>
    <row r="24">
      <c r="D24" s="29" t="n"/>
    </row>
    <row r="25">
      <c r="D25" s="29" t="n"/>
    </row>
    <row r="26">
      <c r="D26" s="29" t="n"/>
    </row>
    <row r="27">
      <c r="D27" s="29" t="n"/>
    </row>
  </sheetData>
  <autoFilter ref="A2:F12"/>
  <conditionalFormatting sqref="C3:C27">
    <cfRule type="cellIs" priority="1" operator="equal" dxfId="0">
      <formula>"Pendiente"</formula>
    </cfRule>
    <cfRule type="cellIs" priority="2" operator="equal" dxfId="1">
      <formula>"En curso"</formula>
    </cfRule>
    <cfRule type="cellIs" priority="3" operator="equal" dxfId="2">
      <formula>"Publicado"</formula>
    </cfRule>
  </conditionalFormatting>
  <dataValidations count="2">
    <dataValidation sqref="C3:C27" showDropDown="0" showInputMessage="0" showErrorMessage="0" allowBlank="1" errorTitle="Estado" error="Elige un valor de la lista" promptTitle="Estado" prompt="Selecciona una opción" type="list">
      <formula1>"Pendiente,En curso,Publicado"</formula1>
    </dataValidation>
    <dataValidation sqref="D3:D27" showDropDown="0" showInputMessage="0" showErrorMessage="0" allowBlank="1" errorTitle="Fecha" error="Introduce una fecha (dd/mm/aaaa)" type="date" operator="greaterThan">
      <formula1>DATE(2026,1,1)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12" customWidth="1" min="3" max="3"/>
    <col width="12" customWidth="1" min="4" max="4"/>
    <col width="16" customWidth="1" min="5" max="5"/>
    <col width="15" customWidth="1" min="6" max="6"/>
    <col width="15" customWidth="1" min="7" max="7"/>
    <col width="40" customWidth="1" min="8" max="8"/>
    <col width="55" customWidth="1" min="9" max="9"/>
  </cols>
  <sheetData>
    <row r="1">
      <c r="A1" s="14" t="inlineStr">
        <is>
          <t>Paso 1.4 del plan. Objetivo: 3-5 reseñas en 2 semanas. Los mensajes por cliente están en resenas-mensajes.md. 'Recordatorio' se calcula solo (Enviado + 5 días) si dejas la celda con la fórmula.</t>
        </is>
      </c>
    </row>
    <row r="2">
      <c r="A2" s="15" t="inlineStr">
        <is>
          <t>Cliente</t>
        </is>
      </c>
      <c r="B2" s="15" t="inlineStr">
        <is>
          <t>Contacto</t>
        </is>
      </c>
      <c r="C2" s="15" t="inlineStr">
        <is>
          <t>Canal</t>
        </is>
      </c>
      <c r="D2" s="15" t="inlineStr">
        <is>
          <t>Enviado</t>
        </is>
      </c>
      <c r="E2" s="15" t="inlineStr">
        <is>
          <t>Recordatorio (día 5-7)</t>
        </is>
      </c>
      <c r="F2" s="15" t="inlineStr">
        <is>
          <t>Estado</t>
        </is>
      </c>
      <c r="G2" s="15" t="inlineStr">
        <is>
          <t>Plataforma</t>
        </is>
      </c>
      <c r="H2" s="15" t="inlineStr">
        <is>
          <t>Enlace reseña / testimonio</t>
        </is>
      </c>
      <c r="I2" s="15" t="inlineStr">
        <is>
          <t>Notas</t>
        </is>
      </c>
    </row>
    <row r="3">
      <c r="A3" s="16" t="inlineStr">
        <is>
          <t>SPAR Supermercados (Gran Canaria, retail)</t>
        </is>
      </c>
      <c r="B3" s="16" t="inlineStr">
        <is>
          <t>[NOMBRE Y CARGO]</t>
        </is>
      </c>
      <c r="C3" s="16" t="inlineStr">
        <is>
          <t>WhatsApp</t>
        </is>
      </c>
      <c r="D3" s="28" t="n"/>
      <c r="E3" s="28">
        <f>IF(D3="","",D3+5)</f>
        <v/>
      </c>
      <c r="F3" s="16" t="inlineStr">
        <is>
          <t>Pendiente</t>
        </is>
      </c>
      <c r="G3" s="16" t="inlineStr">
        <is>
          <t>Google</t>
        </is>
      </c>
      <c r="H3" s="16" t="inlineStr">
        <is>
          <t>[ENLACE RESEÑA PUBLICADA]</t>
        </is>
      </c>
      <c r="I3" s="16" t="inlineStr">
        <is>
          <t>Prioridad 1 (marca reconocible). Mensaje en resenas-mensajes.md, 2.1.</t>
        </is>
      </c>
    </row>
    <row r="4">
      <c r="A4" s="16" t="inlineStr">
        <is>
          <t>Servicios sanitarios en Asturias (cliente confidencial)</t>
        </is>
      </c>
      <c r="B4" s="16" t="inlineStr">
        <is>
          <t>[NOMBRE Y CARGO]</t>
        </is>
      </c>
      <c r="C4" s="16" t="inlineStr">
        <is>
          <t>Email</t>
        </is>
      </c>
      <c r="D4" s="28" t="n"/>
      <c r="E4" s="28">
        <f>IF(D4="","",D4+7)</f>
        <v/>
      </c>
      <c r="F4" s="16" t="inlineStr">
        <is>
          <t>Pendiente</t>
        </is>
      </c>
      <c r="G4" s="16" t="inlineStr">
        <is>
          <t>Capterra</t>
        </is>
      </c>
      <c r="H4" s="16" t="inlineStr"/>
      <c r="I4" s="16" t="inlineStr">
        <is>
          <t>Prioridad 1. Sin nombre público: reseña solo con sector. Mensaje en 2.4. Recordatorio a los 7 días, solo email.</t>
        </is>
      </c>
    </row>
    <row r="5">
      <c r="A5" s="16" t="inlineStr">
        <is>
          <t>NONWATIO (Valencia, frío industrial)</t>
        </is>
      </c>
      <c r="B5" s="16" t="inlineStr">
        <is>
          <t>[NOMBRE Y CARGO]</t>
        </is>
      </c>
      <c r="C5" s="16" t="inlineStr">
        <is>
          <t>WhatsApp</t>
        </is>
      </c>
      <c r="D5" s="28" t="n"/>
      <c r="E5" s="28">
        <f>IF(D5="","",D5+5)</f>
        <v/>
      </c>
      <c r="F5" s="16" t="inlineStr">
        <is>
          <t>Pendiente</t>
        </is>
      </c>
      <c r="G5" s="16" t="inlineStr">
        <is>
          <t>Google</t>
        </is>
      </c>
      <c r="H5" s="16" t="inlineStr"/>
      <c r="I5" s="16" t="inlineStr">
        <is>
          <t>Prioridad 1. Mensaje en 2.2.</t>
        </is>
      </c>
    </row>
    <row r="6">
      <c r="A6" s="16" t="inlineStr">
        <is>
          <t>La Otra Abacería (León, hostelería)</t>
        </is>
      </c>
      <c r="B6" s="16" t="inlineStr">
        <is>
          <t>[NOMBRE Y CARGO]</t>
        </is>
      </c>
      <c r="C6" s="16" t="inlineStr">
        <is>
          <t>WhatsApp</t>
        </is>
      </c>
      <c r="D6" s="28" t="n"/>
      <c r="E6" s="28">
        <f>IF(D6="","",D6+5)</f>
        <v/>
      </c>
      <c r="F6" s="16" t="inlineStr">
        <is>
          <t>Pendiente</t>
        </is>
      </c>
      <c r="G6" s="16" t="inlineStr">
        <is>
          <t>Google</t>
        </is>
      </c>
      <c r="H6" s="16" t="inlineStr"/>
      <c r="I6" s="16" t="inlineStr">
        <is>
          <t>Misma semana, sin agobiar. Mensaje en 2.3.</t>
        </is>
      </c>
    </row>
    <row r="7">
      <c r="A7" s="16" t="inlineStr">
        <is>
          <t>Servicio de Urología, H. U. Clínico San Cecilio (Granada)</t>
        </is>
      </c>
      <c r="B7" s="16" t="inlineStr">
        <is>
          <t>[NOMBRE Y CARGO]</t>
        </is>
      </c>
      <c r="C7" s="16" t="inlineStr">
        <is>
          <t>Email</t>
        </is>
      </c>
      <c r="D7" s="28" t="n"/>
      <c r="E7" s="28">
        <f>IF(D7="","",D7+7)</f>
        <v/>
      </c>
      <c r="F7" s="16" t="inlineStr">
        <is>
          <t>Pendiente</t>
        </is>
      </c>
      <c r="G7" s="16" t="inlineStr">
        <is>
          <t>Google</t>
        </is>
      </c>
      <c r="H7" s="16" t="inlineStr"/>
      <c r="I7" s="16" t="inlineStr">
        <is>
          <t>Sanidad pública: puede que prefieran testimonio o carta interna en vez de reseña pública. Mensaje en 2.5. Recordatorio a los 7 días, solo email; sin WhatsApp.</t>
        </is>
      </c>
    </row>
    <row r="8">
      <c r="D8" s="29" t="n"/>
      <c r="E8" s="30">
        <f>IF(D8="","",D8+5)</f>
        <v/>
      </c>
    </row>
    <row r="9">
      <c r="D9" s="29" t="n"/>
      <c r="E9" s="30">
        <f>IF(D9="","",D9+5)</f>
        <v/>
      </c>
    </row>
    <row r="10">
      <c r="D10" s="29" t="n"/>
      <c r="E10" s="30">
        <f>IF(D10="","",D10+5)</f>
        <v/>
      </c>
    </row>
    <row r="11">
      <c r="D11" s="29" t="n"/>
      <c r="E11" s="30">
        <f>IF(D11="","",D11+5)</f>
        <v/>
      </c>
    </row>
    <row r="12">
      <c r="D12" s="29" t="n"/>
      <c r="E12" s="30">
        <f>IF(D12="","",D12+5)</f>
        <v/>
      </c>
    </row>
    <row r="13">
      <c r="D13" s="29" t="n"/>
      <c r="E13" s="30">
        <f>IF(D13="","",D13+5)</f>
        <v/>
      </c>
    </row>
    <row r="14">
      <c r="D14" s="29" t="n"/>
      <c r="E14" s="30">
        <f>IF(D14="","",D14+5)</f>
        <v/>
      </c>
    </row>
    <row r="15">
      <c r="D15" s="29" t="n"/>
      <c r="E15" s="30">
        <f>IF(D15="","",D15+5)</f>
        <v/>
      </c>
    </row>
    <row r="16">
      <c r="D16" s="29" t="n"/>
      <c r="E16" s="30">
        <f>IF(D16="","",D16+5)</f>
        <v/>
      </c>
    </row>
    <row r="17">
      <c r="D17" s="29" t="n"/>
      <c r="E17" s="30">
        <f>IF(D17="","",D17+5)</f>
        <v/>
      </c>
    </row>
    <row r="18">
      <c r="D18" s="29" t="n"/>
      <c r="E18" s="30">
        <f>IF(D18="","",D18+5)</f>
        <v/>
      </c>
    </row>
    <row r="19">
      <c r="D19" s="29" t="n"/>
      <c r="E19" s="30">
        <f>IF(D19="","",D19+5)</f>
        <v/>
      </c>
    </row>
    <row r="20">
      <c r="D20" s="29" t="n"/>
      <c r="E20" s="30">
        <f>IF(D20="","",D20+5)</f>
        <v/>
      </c>
    </row>
    <row r="21">
      <c r="D21" s="29" t="n"/>
      <c r="E21" s="30">
        <f>IF(D21="","",D21+5)</f>
        <v/>
      </c>
    </row>
    <row r="22">
      <c r="D22" s="29" t="n"/>
      <c r="E22" s="30">
        <f>IF(D22="","",D22+5)</f>
        <v/>
      </c>
    </row>
  </sheetData>
  <autoFilter ref="A2:I7"/>
  <conditionalFormatting sqref="F3:F22">
    <cfRule type="cellIs" priority="1" operator="equal" dxfId="0">
      <formula>"Pendiente"</formula>
    </cfRule>
    <cfRule type="cellIs" priority="2" operator="equal" dxfId="1">
      <formula>"Enviado"</formula>
    </cfRule>
    <cfRule type="cellIs" priority="3" operator="equal" dxfId="1">
      <formula>"Recordatorio"</formula>
    </cfRule>
    <cfRule type="cellIs" priority="4" operator="equal" dxfId="2">
      <formula>"Publicada"</formula>
    </cfRule>
    <cfRule type="cellIs" priority="5" operator="equal" dxfId="2">
      <formula>"Testimonio"</formula>
    </cfRule>
    <cfRule type="cellIs" priority="6" operator="equal" dxfId="3">
      <formula>"Declinó"</formula>
    </cfRule>
    <cfRule type="cellIs" priority="7" operator="equal" dxfId="3">
      <formula>"Sin respuesta"</formula>
    </cfRule>
  </conditionalFormatting>
  <dataValidations count="4">
    <dataValidation sqref="C3:C22" showDropDown="0" showInputMessage="0" showErrorMessage="0" allowBlank="1" errorTitle="Canal" error="Elige un valor de la lista" promptTitle="Canal" prompt="Selecciona una opción" type="list">
      <formula1>"WhatsApp,Email,Llamada,Presencial"</formula1>
    </dataValidation>
    <dataValidation sqref="D3:D22" showDropDown="0" showInputMessage="0" showErrorMessage="0" allowBlank="1" errorTitle="Fecha" error="Introduce una fecha (dd/mm/aaaa)" type="date" operator="greaterThan">
      <formula1>DATE(2026,1,1)</formula1>
    </dataValidation>
    <dataValidation sqref="F3:F22" showDropDown="0" showInputMessage="0" showErrorMessage="0" allowBlank="1" errorTitle="Estado" error="Elige un valor de la lista" promptTitle="Estado" prompt="Selecciona una opción" type="list">
      <formula1>"Pendiente,Enviado,Recordatorio,Publicada,Testimonio,Declinó,Sin respuesta"</formula1>
    </dataValidation>
    <dataValidation sqref="G3:G22" showDropDown="0" showInputMessage="0" showErrorMessage="0" allowBlank="1" errorTitle="Plataforma" error="Elige un valor de la lista" promptTitle="Plataforma" prompt="Selecciona una opción" type="list">
      <formula1>"Google,Capterra,GetApp,SoftDoit,G2,Testimonio web,Otro"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2" customWidth="1" min="3" max="3"/>
    <col width="20" customWidth="1" min="4" max="4"/>
    <col width="13" customWidth="1" min="5" max="5"/>
    <col width="16" customWidth="1" min="6" max="6"/>
    <col width="16" customWidth="1" min="7" max="7"/>
    <col width="40" customWidth="1" min="8" max="8"/>
    <col width="60" customWidth="1" min="9" max="9"/>
  </cols>
  <sheetData>
    <row r="1">
      <c r="A1" s="14" t="inlineStr">
        <is>
          <t>Paso 2.1 del plan (pitch en plan.md). También sirve para los listados/comparativas a los que se pide inclusión (sección 4.1 del kit GSC+GEO): sección = 'Listado/comparativa'. 'Seguimiento' se calcula solo (Fecha envío + 7).</t>
        </is>
      </c>
    </row>
    <row r="2">
      <c r="A2" s="15" t="inlineStr">
        <is>
          <t>Medio</t>
        </is>
      </c>
      <c r="B2" s="15" t="inlineStr">
        <is>
          <t>Sección</t>
        </is>
      </c>
      <c r="C2" s="15" t="inlineStr">
        <is>
          <t>Contacto / email</t>
        </is>
      </c>
      <c r="D2" s="15" t="inlineStr">
        <is>
          <t>Periodista</t>
        </is>
      </c>
      <c r="E2" s="15" t="inlineStr">
        <is>
          <t>Fecha envío</t>
        </is>
      </c>
      <c r="F2" s="15" t="inlineStr">
        <is>
          <t>Seguimiento (+7 días)</t>
        </is>
      </c>
      <c r="G2" s="15" t="inlineStr">
        <is>
          <t>Respuesta / estado</t>
        </is>
      </c>
      <c r="H2" s="15" t="inlineStr">
        <is>
          <t>Publicado (URL)</t>
        </is>
      </c>
      <c r="I2" s="15" t="inlineStr">
        <is>
          <t>Notas</t>
        </is>
      </c>
    </row>
    <row r="3">
      <c r="A3" s="16" t="inlineStr">
        <is>
          <t>La Nueva España</t>
        </is>
      </c>
      <c r="B3" s="16" t="inlineStr">
        <is>
          <t>Oviedo / Economía</t>
        </is>
      </c>
      <c r="C3" s="16" t="inlineStr">
        <is>
          <t>[EMAIL REDACCIÓN O FORMULARIO]</t>
        </is>
      </c>
      <c r="D3" s="16" t="inlineStr">
        <is>
          <t>[PERIODISTA]</t>
        </is>
      </c>
      <c r="E3" s="28" t="n"/>
      <c r="F3" s="28">
        <f>IF(E3="","",E3+7)</f>
        <v/>
      </c>
      <c r="G3" s="16" t="inlineStr">
        <is>
          <t>Pendiente</t>
        </is>
      </c>
      <c r="H3" s="16" t="inlineStr"/>
      <c r="I3" s="16" t="inlineStr">
        <is>
          <t>Ángulo: empresa de Oviedo, tecnología hecha en Asturias.</t>
        </is>
      </c>
    </row>
    <row r="4">
      <c r="A4" s="16" t="inlineStr">
        <is>
          <t>El Comercio</t>
        </is>
      </c>
      <c r="B4" s="16" t="inlineStr">
        <is>
          <t>Gijón</t>
        </is>
      </c>
      <c r="C4" s="16" t="inlineStr">
        <is>
          <t>[EMAIL REDACCIÓN O FORMULARIO]</t>
        </is>
      </c>
      <c r="D4" s="16" t="inlineStr">
        <is>
          <t>[PERIODISTA]</t>
        </is>
      </c>
      <c r="E4" s="28" t="n"/>
      <c r="F4" s="28">
        <f>IF(E4="","",E4+7)</f>
        <v/>
      </c>
      <c r="G4" s="16" t="inlineStr">
        <is>
          <t>Pendiente</t>
        </is>
      </c>
      <c r="H4" s="16" t="inlineStr"/>
      <c r="I4" s="16" t="inlineStr">
        <is>
          <t>Ángulo: enfermero del Hospital de Jove (Gijón) que crea una IA para los cuadrantes.</t>
        </is>
      </c>
    </row>
    <row r="5">
      <c r="A5" s="16" t="inlineStr">
        <is>
          <t>Asturias Semanal</t>
        </is>
      </c>
      <c r="B5" s="16" t="inlineStr">
        <is>
          <t>Economía / empresas</t>
        </is>
      </c>
      <c r="C5" s="16" t="inlineStr">
        <is>
          <t>[EMAIL REDACCIÓN O FORMULARIO]</t>
        </is>
      </c>
      <c r="D5" s="16" t="inlineStr">
        <is>
          <t>[PERIODISTA]</t>
        </is>
      </c>
      <c r="E5" s="28" t="n"/>
      <c r="F5" s="28">
        <f>IF(E5="","",E5+7)</f>
        <v/>
      </c>
      <c r="G5" s="16" t="inlineStr">
        <is>
          <t>Pendiente</t>
        </is>
      </c>
      <c r="H5" s="16" t="inlineStr"/>
      <c r="I5" s="16" t="inlineStr">
        <is>
          <t>Ángulo: startup asturiana que compite con software nacional e internacional.</t>
        </is>
      </c>
    </row>
    <row r="6">
      <c r="A6" s="16" t="inlineStr">
        <is>
          <t>[MEDIO DE STARTUPS / ECONOMÍA ASTURIANA]</t>
        </is>
      </c>
      <c r="B6" s="16" t="inlineStr">
        <is>
          <t>Startups</t>
        </is>
      </c>
      <c r="C6" s="16" t="inlineStr">
        <is>
          <t>[EMAIL REDACCIÓN O FORMULARIO]</t>
        </is>
      </c>
      <c r="D6" s="16" t="inlineStr">
        <is>
          <t>[PERIODISTA]</t>
        </is>
      </c>
      <c r="E6" s="28" t="n"/>
      <c r="F6" s="28">
        <f>IF(E6="","",E6+7)</f>
        <v/>
      </c>
      <c r="G6" s="16" t="inlineStr">
        <is>
          <t>Pendiente</t>
        </is>
      </c>
      <c r="H6" s="16" t="inlineStr"/>
      <c r="I6" s="16" t="inlineStr">
        <is>
          <t>El plan deja abierto el medio concreto; elegir uno de emprendimiento asturiano.</t>
        </is>
      </c>
    </row>
    <row r="7">
      <c r="A7" s="16" t="inlineStr">
        <is>
          <t>Geriatricarea</t>
        </is>
      </c>
      <c r="B7" s="16" t="inlineStr">
        <is>
          <t>Residencias / tecnología</t>
        </is>
      </c>
      <c r="C7" s="16" t="inlineStr">
        <is>
          <t>[EMAIL REDACCIÓN O FORMULARIO]</t>
        </is>
      </c>
      <c r="D7" s="16" t="inlineStr">
        <is>
          <t>[PERIODISTA]</t>
        </is>
      </c>
      <c r="E7" s="28" t="n"/>
      <c r="F7" s="28">
        <f>IF(E7="","",E7+7)</f>
        <v/>
      </c>
      <c r="G7" s="16" t="inlineStr">
        <is>
          <t>Pendiente</t>
        </is>
      </c>
      <c r="H7" s="16" t="inlineStr"/>
      <c r="I7" s="16" t="inlineStr">
        <is>
          <t>Ángulo residencias: cobertura 24/7, equidad de noches, convenio configurable. Sin inventar clientes de residencias.</t>
        </is>
      </c>
    </row>
    <row r="8">
      <c r="A8" s="16" t="inlineStr">
        <is>
          <t>Balance Sociosanitario</t>
        </is>
      </c>
      <c r="B8" s="16" t="inlineStr">
        <is>
          <t>Sociosanitario</t>
        </is>
      </c>
      <c r="C8" s="16" t="inlineStr">
        <is>
          <t>[EMAIL REDACCIÓN O FORMULARIO]</t>
        </is>
      </c>
      <c r="D8" s="16" t="inlineStr">
        <is>
          <t>[PERIODISTA]</t>
        </is>
      </c>
      <c r="E8" s="28" t="n"/>
      <c r="F8" s="28">
        <f>IF(E8="","",E8+7)</f>
        <v/>
      </c>
      <c r="G8" s="16" t="inlineStr">
        <is>
          <t>Pendiente</t>
        </is>
      </c>
      <c r="H8" s="16" t="inlineStr"/>
      <c r="I8" s="16" t="inlineStr">
        <is>
          <t>Ángulo residencias / sociosanitario.</t>
        </is>
      </c>
    </row>
    <row r="9">
      <c r="A9" s="16" t="inlineStr">
        <is>
          <t>iSanidad</t>
        </is>
      </c>
      <c r="B9" s="16" t="inlineStr">
        <is>
          <t>Sanidad / innovación</t>
        </is>
      </c>
      <c r="C9" s="16" t="inlineStr">
        <is>
          <t>[EMAIL REDACCIÓN O FORMULARIO]</t>
        </is>
      </c>
      <c r="D9" s="16" t="inlineStr">
        <is>
          <t>[PERIODISTA]</t>
        </is>
      </c>
      <c r="E9" s="28" t="n"/>
      <c r="F9" s="28">
        <f>IF(E9="","",E9+7)</f>
        <v/>
      </c>
      <c r="G9" s="16" t="inlineStr">
        <is>
          <t>Pendiente</t>
        </is>
      </c>
      <c r="H9" s="16" t="inlineStr"/>
      <c r="I9" s="16" t="inlineStr">
        <is>
          <t>Ángulo sanitario: Servicio de Urología del H. U. Clínico San Cecilio (Granada) planifica con Shiftia.</t>
        </is>
      </c>
    </row>
    <row r="10">
      <c r="E10" s="29" t="n"/>
      <c r="F10" s="30">
        <f>IF(E10="","",E10+7)</f>
        <v/>
      </c>
    </row>
    <row r="11">
      <c r="E11" s="29" t="n"/>
      <c r="F11" s="30">
        <f>IF(E11="","",E11+7)</f>
        <v/>
      </c>
    </row>
    <row r="12">
      <c r="E12" s="29" t="n"/>
      <c r="F12" s="30">
        <f>IF(E12="","",E12+7)</f>
        <v/>
      </c>
    </row>
    <row r="13">
      <c r="E13" s="29" t="n"/>
      <c r="F13" s="30">
        <f>IF(E13="","",E13+7)</f>
        <v/>
      </c>
    </row>
    <row r="14">
      <c r="E14" s="29" t="n"/>
      <c r="F14" s="30">
        <f>IF(E14="","",E14+7)</f>
        <v/>
      </c>
    </row>
    <row r="15">
      <c r="E15" s="29" t="n"/>
      <c r="F15" s="30">
        <f>IF(E15="","",E15+7)</f>
        <v/>
      </c>
    </row>
    <row r="16">
      <c r="E16" s="29" t="n"/>
      <c r="F16" s="30">
        <f>IF(E16="","",E16+7)</f>
        <v/>
      </c>
    </row>
    <row r="17">
      <c r="E17" s="29" t="n"/>
      <c r="F17" s="30">
        <f>IF(E17="","",E17+7)</f>
        <v/>
      </c>
    </row>
    <row r="18">
      <c r="E18" s="29" t="n"/>
      <c r="F18" s="30">
        <f>IF(E18="","",E18+7)</f>
        <v/>
      </c>
    </row>
    <row r="19">
      <c r="E19" s="29" t="n"/>
      <c r="F19" s="30">
        <f>IF(E19="","",E19+7)</f>
        <v/>
      </c>
    </row>
    <row r="20">
      <c r="E20" s="29" t="n"/>
      <c r="F20" s="30">
        <f>IF(E20="","",E20+7)</f>
        <v/>
      </c>
    </row>
    <row r="21">
      <c r="E21" s="29" t="n"/>
      <c r="F21" s="30">
        <f>IF(E21="","",E21+7)</f>
        <v/>
      </c>
    </row>
    <row r="22">
      <c r="E22" s="29" t="n"/>
      <c r="F22" s="30">
        <f>IF(E22="","",E22+7)</f>
        <v/>
      </c>
    </row>
    <row r="23">
      <c r="E23" s="29" t="n"/>
      <c r="F23" s="30">
        <f>IF(E23="","",E23+7)</f>
        <v/>
      </c>
    </row>
    <row r="24">
      <c r="E24" s="29" t="n"/>
      <c r="F24" s="30">
        <f>IF(E24="","",E24+7)</f>
        <v/>
      </c>
    </row>
  </sheetData>
  <autoFilter ref="A2:I9"/>
  <conditionalFormatting sqref="G3:G24">
    <cfRule type="cellIs" priority="1" operator="equal" dxfId="0">
      <formula>"Pendiente"</formula>
    </cfRule>
    <cfRule type="cellIs" priority="2" operator="equal" dxfId="1">
      <formula>"Enviado"</formula>
    </cfRule>
    <cfRule type="cellIs" priority="3" operator="equal" dxfId="1">
      <formula>"Seguimiento"</formula>
    </cfRule>
    <cfRule type="cellIs" priority="4" operator="equal" dxfId="2">
      <formula>"Respondido"</formula>
    </cfRule>
    <cfRule type="cellIs" priority="5" operator="equal" dxfId="2">
      <formula>"Publicado"</formula>
    </cfRule>
    <cfRule type="cellIs" priority="6" operator="equal" dxfId="3">
      <formula>"Declinado"</formula>
    </cfRule>
    <cfRule type="cellIs" priority="7" operator="equal" dxfId="3">
      <formula>"Sin respuesta"</formula>
    </cfRule>
  </conditionalFormatting>
  <dataValidations count="2">
    <dataValidation sqref="E3:E24" showDropDown="0" showInputMessage="0" showErrorMessage="0" allowBlank="1" errorTitle="Fecha" error="Introduce una fecha (dd/mm/aaaa)" type="date" operator="greaterThan">
      <formula1>DATE(2026,1,1)</formula1>
    </dataValidation>
    <dataValidation sqref="G3:G24" showDropDown="0" showInputMessage="0" showErrorMessage="0" allowBlank="1" errorTitle="Estado" error="Elige un valor de la lista" promptTitle="Estado" prompt="Selecciona una opción" type="list">
      <formula1>"Pendiente,Enviado,Seguimiento,Respondido,Publicado,Declinado,Sin respuesta"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62" customWidth="1" min="4" max="4"/>
    <col width="14" customWidth="1" min="5" max="5"/>
    <col width="14" customWidth="1" min="6" max="6"/>
    <col width="12" customWidth="1" min="7" max="7"/>
    <col width="11" customWidth="1" min="8" max="8"/>
    <col width="12" customWidth="1" min="9" max="9"/>
    <col width="10" customWidth="1" min="10" max="10"/>
    <col width="13" customWidth="1" min="11" max="11"/>
  </cols>
  <sheetData>
    <row r="1">
      <c r="A1" s="14" t="inlineStr">
        <is>
          <t>Paso 2.2 del plan. Calendario y textos completos en linkedin-calendario-y-posts.md. Métricas: se apuntan a los 7 días de publicar (Analíticas del post). 'Interacción %' = (reacciones + comentarios + clics) / impresiones.</t>
        </is>
      </c>
    </row>
    <row r="2">
      <c r="A2" s="15" t="inlineStr">
        <is>
          <t>Semana</t>
        </is>
      </c>
      <c r="B2" s="15" t="inlineStr">
        <is>
          <t>Fecha</t>
        </is>
      </c>
      <c r="C2" s="15" t="inlineStr">
        <is>
          <t>Tipo</t>
        </is>
      </c>
      <c r="D2" s="15" t="inlineStr">
        <is>
          <t>Tema</t>
        </is>
      </c>
      <c r="E2" s="15" t="inlineStr">
        <is>
          <t>Publicado en perfil</t>
        </is>
      </c>
      <c r="F2" s="15" t="inlineStr">
        <is>
          <t>Publicado en página</t>
        </is>
      </c>
      <c r="G2" s="15" t="inlineStr">
        <is>
          <t>Impresiones</t>
        </is>
      </c>
      <c r="H2" s="15" t="inlineStr">
        <is>
          <t>Reacciones</t>
        </is>
      </c>
      <c r="I2" s="15" t="inlineStr">
        <is>
          <t>Comentarios</t>
        </is>
      </c>
      <c r="J2" s="15" t="inlineStr">
        <is>
          <t>Clics</t>
        </is>
      </c>
      <c r="K2" s="15" t="inlineStr">
        <is>
          <t>Interacción %</t>
        </is>
      </c>
    </row>
    <row r="3">
      <c r="A3" s="16" t="n">
        <v>1</v>
      </c>
      <c r="B3" s="28" t="n">
        <v>46273</v>
      </c>
      <c r="C3" s="16" t="inlineStr">
        <is>
          <t>Personal</t>
        </is>
      </c>
      <c r="D3" s="16" t="inlineStr">
        <is>
          <t>De hacer cuadrantes a mano en el hospital a fundar Shiftia</t>
        </is>
      </c>
      <c r="E3" s="16" t="inlineStr">
        <is>
          <t>No</t>
        </is>
      </c>
      <c r="F3" s="16" t="inlineStr">
        <is>
          <t>No</t>
        </is>
      </c>
      <c r="G3" s="16" t="n"/>
      <c r="H3" s="16" t="n"/>
      <c r="I3" s="16" t="n"/>
      <c r="J3" s="16" t="n"/>
      <c r="K3" s="31">
        <f>IF(OR(G3="",G3=0),"",(H3+I3+J3)/G3)</f>
        <v/>
      </c>
    </row>
    <row r="4">
      <c r="A4" s="16" t="n">
        <v>2</v>
      </c>
      <c r="B4" s="28" t="n">
        <v>46280</v>
      </c>
      <c r="C4" s="16" t="inlineStr">
        <is>
          <t>Normativa</t>
        </is>
      </c>
      <c r="D4" s="16" t="inlineStr">
        <is>
          <t>Descanso mínimo de 12 h entre turnos (art. 34.3 ET)</t>
        </is>
      </c>
      <c r="E4" s="16" t="inlineStr">
        <is>
          <t>No</t>
        </is>
      </c>
      <c r="F4" s="16" t="inlineStr">
        <is>
          <t>No</t>
        </is>
      </c>
      <c r="G4" s="16" t="n"/>
      <c r="H4" s="16" t="n"/>
      <c r="I4" s="16" t="n"/>
      <c r="J4" s="16" t="n"/>
      <c r="K4" s="31">
        <f>IF(OR(G4="",G4=0),"",(H4+I4+J4)/G4)</f>
        <v/>
      </c>
    </row>
    <row r="5">
      <c r="A5" s="16" t="n">
        <v>3</v>
      </c>
      <c r="B5" s="28" t="n">
        <v>46288</v>
      </c>
      <c r="C5" s="16" t="inlineStr">
        <is>
          <t>Producto</t>
        </is>
      </c>
      <c r="D5" s="16" t="inlineStr">
        <is>
          <t>Vídeo de 30 s: ShiftiaCore genera un cuadrante mensual desde cero</t>
        </is>
      </c>
      <c r="E5" s="16" t="inlineStr">
        <is>
          <t>No</t>
        </is>
      </c>
      <c r="F5" s="16" t="inlineStr">
        <is>
          <t>No</t>
        </is>
      </c>
      <c r="G5" s="16" t="n"/>
      <c r="H5" s="16" t="n"/>
      <c r="I5" s="16" t="n"/>
      <c r="J5" s="16" t="n"/>
      <c r="K5" s="31">
        <f>IF(OR(G5="",G5=0),"",(H5+I5+J5)/G5)</f>
        <v/>
      </c>
    </row>
    <row r="6">
      <c r="A6" s="16" t="n">
        <v>4</v>
      </c>
      <c r="B6" s="28" t="n">
        <v>46294</v>
      </c>
      <c r="C6" s="16" t="inlineStr">
        <is>
          <t>Caso</t>
        </is>
      </c>
      <c r="D6" s="16" t="inlineStr">
        <is>
          <t>Servicio de Urología del H. U. Clínico San Cecilio (Granada)</t>
        </is>
      </c>
      <c r="E6" s="16" t="inlineStr">
        <is>
          <t>No</t>
        </is>
      </c>
      <c r="F6" s="16" t="inlineStr">
        <is>
          <t>No</t>
        </is>
      </c>
      <c r="G6" s="16" t="n"/>
      <c r="H6" s="16" t="n"/>
      <c r="I6" s="16" t="n"/>
      <c r="J6" s="16" t="n"/>
      <c r="K6" s="31">
        <f>IF(OR(G6="",G6=0),"",(H6+I6+J6)/G6)</f>
        <v/>
      </c>
    </row>
    <row r="7">
      <c r="A7" s="16" t="n">
        <v>5</v>
      </c>
      <c r="B7" s="28" t="n">
        <v>46301</v>
      </c>
      <c r="C7" s="16" t="inlineStr">
        <is>
          <t>Personal</t>
        </is>
      </c>
      <c r="D7" s="16" t="inlineStr">
        <is>
          <t>La equidad de noches es un problema de salud y de justicia</t>
        </is>
      </c>
      <c r="E7" s="16" t="inlineStr">
        <is>
          <t>No</t>
        </is>
      </c>
      <c r="F7" s="16" t="inlineStr">
        <is>
          <t>No</t>
        </is>
      </c>
      <c r="G7" s="16" t="n"/>
      <c r="H7" s="16" t="n"/>
      <c r="I7" s="16" t="n"/>
      <c r="J7" s="16" t="n"/>
      <c r="K7" s="31">
        <f>IF(OR(G7="",G7=0),"",(H7+I7+J7)/G7)</f>
        <v/>
      </c>
    </row>
    <row r="8">
      <c r="A8" s="16" t="n">
        <v>6</v>
      </c>
      <c r="B8" s="28" t="n">
        <v>46309</v>
      </c>
      <c r="C8" s="16" t="inlineStr">
        <is>
          <t>Normativa</t>
        </is>
      </c>
      <c r="D8" s="16" t="inlineStr">
        <is>
          <t>Registro horario (art. 34.9 ET) y por qué el cuadrante no es el registro</t>
        </is>
      </c>
      <c r="E8" s="16" t="inlineStr">
        <is>
          <t>No</t>
        </is>
      </c>
      <c r="F8" s="16" t="inlineStr">
        <is>
          <t>No</t>
        </is>
      </c>
      <c r="G8" s="16" t="n"/>
      <c r="H8" s="16" t="n"/>
      <c r="I8" s="16" t="n"/>
      <c r="J8" s="16" t="n"/>
      <c r="K8" s="31">
        <f>IF(OR(G8="",G8=0),"",(H8+I8+J8)/G8)</f>
        <v/>
      </c>
    </row>
    <row r="9">
      <c r="A9" s="16" t="n">
        <v>7</v>
      </c>
      <c r="B9" s="28" t="n">
        <v>46315</v>
      </c>
      <c r="C9" s="16" t="inlineStr">
        <is>
          <t>Producto</t>
        </is>
      </c>
      <c r="D9" s="16" t="inlineStr">
        <is>
          <t>Gestor de Cobertura IA: una baja a las 7:00, 3 candidatos en menos de 1 s</t>
        </is>
      </c>
      <c r="E9" s="16" t="inlineStr">
        <is>
          <t>No</t>
        </is>
      </c>
      <c r="F9" s="16" t="inlineStr">
        <is>
          <t>No</t>
        </is>
      </c>
      <c r="G9" s="16" t="n"/>
      <c r="H9" s="16" t="n"/>
      <c r="I9" s="16" t="n"/>
      <c r="J9" s="16" t="n"/>
      <c r="K9" s="31">
        <f>IF(OR(G9="",G9=0),"",(H9+I9+J9)/G9)</f>
        <v/>
      </c>
    </row>
    <row r="10">
      <c r="A10" s="16" t="n">
        <v>8</v>
      </c>
      <c r="B10" s="28" t="n">
        <v>46322</v>
      </c>
      <c r="C10" s="16" t="inlineStr">
        <is>
          <t>Caso</t>
        </is>
      </c>
      <c r="D10" s="16" t="inlineStr">
        <is>
          <t>Hostelería: La Otra Abacería (León), turno partido y fines de semana</t>
        </is>
      </c>
      <c r="E10" s="16" t="inlineStr">
        <is>
          <t>No</t>
        </is>
      </c>
      <c r="F10" s="16" t="inlineStr">
        <is>
          <t>No</t>
        </is>
      </c>
      <c r="G10" s="16" t="n"/>
      <c r="H10" s="16" t="n"/>
      <c r="I10" s="16" t="n"/>
      <c r="J10" s="16" t="n"/>
      <c r="K10" s="31">
        <f>IF(OR(G10="",G10=0),"",(H10+I10+J10)/G10)</f>
        <v/>
      </c>
    </row>
    <row r="11">
      <c r="A11" s="16" t="n">
        <v>9</v>
      </c>
      <c r="B11" s="28" t="n">
        <v>46329</v>
      </c>
      <c r="C11" s="16" t="inlineStr">
        <is>
          <t>Personal</t>
        </is>
      </c>
      <c r="D11" s="16" t="inlineStr">
        <is>
          <t>Por qué publicamos comparativas honestas</t>
        </is>
      </c>
      <c r="E11" s="16" t="inlineStr">
        <is>
          <t>No</t>
        </is>
      </c>
      <c r="F11" s="16" t="inlineStr">
        <is>
          <t>No</t>
        </is>
      </c>
      <c r="G11" s="16" t="n"/>
      <c r="H11" s="16" t="n"/>
      <c r="I11" s="16" t="n"/>
      <c r="J11" s="16" t="n"/>
      <c r="K11" s="31">
        <f>IF(OR(G11="",G11=0),"",(H11+I11+J11)/G11)</f>
        <v/>
      </c>
    </row>
    <row r="12">
      <c r="A12" s="16" t="n">
        <v>10</v>
      </c>
      <c r="B12" s="28" t="n">
        <v>46336</v>
      </c>
      <c r="C12" s="16" t="inlineStr">
        <is>
          <t>Normativa</t>
        </is>
      </c>
      <c r="D12" s="16" t="inlineStr">
        <is>
          <t>Turnos rotativos y convenio 2026</t>
        </is>
      </c>
      <c r="E12" s="16" t="inlineStr">
        <is>
          <t>No</t>
        </is>
      </c>
      <c r="F12" s="16" t="inlineStr">
        <is>
          <t>No</t>
        </is>
      </c>
      <c r="G12" s="16" t="n"/>
      <c r="H12" s="16" t="n"/>
      <c r="I12" s="16" t="n"/>
      <c r="J12" s="16" t="n"/>
      <c r="K12" s="31">
        <f>IF(OR(G12="",G12=0),"",(H12+I12+J12)/G12)</f>
        <v/>
      </c>
    </row>
    <row r="13">
      <c r="A13" s="16" t="n">
        <v>11</v>
      </c>
      <c r="B13" s="28" t="n">
        <v>46343</v>
      </c>
      <c r="C13" s="16" t="inlineStr">
        <is>
          <t>Producto</t>
        </is>
      </c>
      <c r="D13" s="16" t="inlineStr">
        <is>
          <t>Lector PDF con IA + auditoría gratuita de cuadrante</t>
        </is>
      </c>
      <c r="E13" s="16" t="inlineStr">
        <is>
          <t>No</t>
        </is>
      </c>
      <c r="F13" s="16" t="inlineStr">
        <is>
          <t>No</t>
        </is>
      </c>
      <c r="G13" s="16" t="n"/>
      <c r="H13" s="16" t="n"/>
      <c r="I13" s="16" t="n"/>
      <c r="J13" s="16" t="n"/>
      <c r="K13" s="31">
        <f>IF(OR(G13="",G13=0),"",(H13+I13+J13)/G13)</f>
        <v/>
      </c>
    </row>
    <row r="14">
      <c r="A14" s="16" t="n">
        <v>12</v>
      </c>
      <c r="B14" s="28" t="n">
        <v>46350</v>
      </c>
      <c r="C14" s="16" t="inlineStr">
        <is>
          <t>Caso</t>
        </is>
      </c>
      <c r="D14" s="16" t="inlineStr">
        <is>
          <t>Retail: SPAR Supermercados (Gran Canaria)</t>
        </is>
      </c>
      <c r="E14" s="16" t="inlineStr">
        <is>
          <t>No</t>
        </is>
      </c>
      <c r="F14" s="16" t="inlineStr">
        <is>
          <t>No</t>
        </is>
      </c>
      <c r="G14" s="16" t="n"/>
      <c r="H14" s="16" t="n"/>
      <c r="I14" s="16" t="n"/>
      <c r="J14" s="16" t="n"/>
      <c r="K14" s="31">
        <f>IF(OR(G14="",G14=0),"",(H14+I14+J14)/G14)</f>
        <v/>
      </c>
    </row>
    <row r="15">
      <c r="B15" s="29" t="n"/>
      <c r="K15" s="32">
        <f>IF(OR(G15="",G15=0),"",(H15+I15+J15)/G15)</f>
        <v/>
      </c>
    </row>
    <row r="16">
      <c r="B16" s="29" t="n"/>
      <c r="K16" s="32">
        <f>IF(OR(G16="",G16=0),"",(H16+I16+J16)/G16)</f>
        <v/>
      </c>
    </row>
    <row r="17">
      <c r="B17" s="29" t="n"/>
      <c r="K17" s="32">
        <f>IF(OR(G17="",G17=0),"",(H17+I17+J17)/G17)</f>
        <v/>
      </c>
    </row>
    <row r="18">
      <c r="B18" s="29" t="n"/>
      <c r="K18" s="32">
        <f>IF(OR(G18="",G18=0),"",(H18+I18+J18)/G18)</f>
        <v/>
      </c>
    </row>
    <row r="19">
      <c r="B19" s="29" t="n"/>
      <c r="K19" s="32">
        <f>IF(OR(G19="",G19=0),"",(H19+I19+J19)/G19)</f>
        <v/>
      </c>
    </row>
    <row r="20">
      <c r="B20" s="29" t="n"/>
      <c r="K20" s="32">
        <f>IF(OR(G20="",G20=0),"",(H20+I20+J20)/G20)</f>
        <v/>
      </c>
    </row>
    <row r="21">
      <c r="B21" s="29" t="n"/>
      <c r="K21" s="32">
        <f>IF(OR(G21="",G21=0),"",(H21+I21+J21)/G21)</f>
        <v/>
      </c>
    </row>
    <row r="22">
      <c r="B22" s="29" t="n"/>
      <c r="K22" s="32">
        <f>IF(OR(G22="",G22=0),"",(H22+I22+J22)/G22)</f>
        <v/>
      </c>
    </row>
    <row r="23">
      <c r="B23" s="29" t="n"/>
      <c r="K23" s="32">
        <f>IF(OR(G23="",G23=0),"",(H23+I23+J23)/G23)</f>
        <v/>
      </c>
    </row>
    <row r="24">
      <c r="B24" s="29" t="n"/>
      <c r="K24" s="32">
        <f>IF(OR(G24="",G24=0),"",(H24+I24+J24)/G24)</f>
        <v/>
      </c>
    </row>
    <row r="25">
      <c r="B25" s="29" t="n"/>
      <c r="K25" s="32">
        <f>IF(OR(G25="",G25=0),"",(H25+I25+J25)/G25)</f>
        <v/>
      </c>
    </row>
    <row r="26">
      <c r="B26" s="29" t="n"/>
      <c r="K26" s="32">
        <f>IF(OR(G26="",G26=0),"",(H26+I26+J26)/G26)</f>
        <v/>
      </c>
    </row>
    <row r="27">
      <c r="B27" s="29" t="n"/>
      <c r="K27" s="32">
        <f>IF(OR(G27="",G27=0),"",(H27+I27+J27)/G27)</f>
        <v/>
      </c>
    </row>
    <row r="28">
      <c r="B28" s="29" t="n"/>
      <c r="K28" s="32">
        <f>IF(OR(G28="",G28=0),"",(H28+I28+J28)/G28)</f>
        <v/>
      </c>
    </row>
    <row r="29">
      <c r="B29" s="29" t="n"/>
      <c r="K29" s="32">
        <f>IF(OR(G29="",G29=0),"",(H29+I29+J29)/G29)</f>
        <v/>
      </c>
    </row>
    <row r="30">
      <c r="B30" s="29" t="n"/>
      <c r="K30" s="32">
        <f>IF(OR(G30="",G30=0),"",(H30+I30+J30)/G30)</f>
        <v/>
      </c>
    </row>
    <row r="31">
      <c r="B31" s="29" t="n"/>
      <c r="K31" s="32">
        <f>IF(OR(G31="",G31=0),"",(H31+I31+J31)/G31)</f>
        <v/>
      </c>
    </row>
    <row r="32">
      <c r="B32" s="29" t="n"/>
      <c r="K32" s="32">
        <f>IF(OR(G32="",G32=0),"",(H32+I32+J32)/G32)</f>
        <v/>
      </c>
    </row>
    <row r="33">
      <c r="B33" s="29" t="n"/>
      <c r="K33" s="32">
        <f>IF(OR(G33="",G33=0),"",(H33+I33+J33)/G33)</f>
        <v/>
      </c>
    </row>
    <row r="34">
      <c r="B34" s="29" t="n"/>
      <c r="K34" s="32">
        <f>IF(OR(G34="",G34=0),"",(H34+I34+J34)/G34)</f>
        <v/>
      </c>
    </row>
    <row r="35">
      <c r="B35" s="29" t="n"/>
      <c r="K35" s="32">
        <f>IF(OR(G35="",G35=0),"",(H35+I35+J35)/G35)</f>
        <v/>
      </c>
    </row>
    <row r="36">
      <c r="B36" s="29" t="n"/>
      <c r="K36" s="32">
        <f>IF(OR(G36="",G36=0),"",(H36+I36+J36)/G36)</f>
        <v/>
      </c>
    </row>
    <row r="37">
      <c r="B37" s="29" t="n"/>
      <c r="K37" s="32">
        <f>IF(OR(G37="",G37=0),"",(H37+I37+J37)/G37)</f>
        <v/>
      </c>
    </row>
    <row r="38">
      <c r="B38" s="29" t="n"/>
      <c r="K38" s="32">
        <f>IF(OR(G38="",G38=0),"",(H38+I38+J38)/G38)</f>
        <v/>
      </c>
    </row>
  </sheetData>
  <autoFilter ref="A2:K14"/>
  <conditionalFormatting sqref="E3:E38">
    <cfRule type="cellIs" priority="1" operator="equal" dxfId="2">
      <formula>"Sí"</formula>
    </cfRule>
    <cfRule type="cellIs" priority="2" operator="equal" dxfId="0">
      <formula>"No"</formula>
    </cfRule>
  </conditionalFormatting>
  <conditionalFormatting sqref="F3:F38">
    <cfRule type="cellIs" priority="3" operator="equal" dxfId="2">
      <formula>"Sí"</formula>
    </cfRule>
    <cfRule type="cellIs" priority="4" operator="equal" dxfId="0">
      <formula>"No"</formula>
    </cfRule>
  </conditionalFormatting>
  <dataValidations count="4">
    <dataValidation sqref="B3:B38" showDropDown="0" showInputMessage="0" showErrorMessage="0" allowBlank="1" errorTitle="Fecha" error="Introduce una fecha (dd/mm/aaaa)" type="date" operator="greaterThan">
      <formula1>DATE(2026,1,1)</formula1>
    </dataValidation>
    <dataValidation sqref="C3:C38" showDropDown="0" showInputMessage="0" showErrorMessage="0" allowBlank="1" errorTitle="Tipo" error="Elige un valor de la lista" promptTitle="Tipo" prompt="Selecciona una opción" type="list">
      <formula1>"Personal,Normativa,Producto,Caso"</formula1>
    </dataValidation>
    <dataValidation sqref="E3:E38" showDropDown="0" showInputMessage="0" showErrorMessage="0" allowBlank="1" errorTitle="Publicado" error="Elige un valor de la lista" promptTitle="Publicado" prompt="Selecciona una opción" type="list">
      <formula1>"Sí,No"</formula1>
    </dataValidation>
    <dataValidation sqref="F3:F38" showDropDown="0" showInputMessage="0" showErrorMessage="0" allowBlank="1" errorTitle="Publicado" error="Elige un valor de la lista" promptTitle="Publicado" prompt="Selecciona una opción" type="list">
      <formula1>"Sí,No"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52" customWidth="1" min="3" max="3"/>
    <col width="20" customWidth="1" min="4" max="4"/>
    <col width="10" customWidth="1" min="5" max="5"/>
    <col width="10" customWidth="1" min="6" max="6"/>
    <col width="34" customWidth="1" min="7" max="7"/>
    <col width="44" customWidth="1" min="8" max="8"/>
    <col width="14" customWidth="1" min="9" max="9"/>
    <col width="16" customWidth="1" min="10" max="10"/>
    <col width="12" customWidth="1" min="11" max="11"/>
    <col width="40" customWidth="1" min="12" max="12"/>
  </cols>
  <sheetData>
    <row r="1">
      <c r="A1" s="14" t="inlineStr">
        <is>
          <t>Paso 4.2 del plan. Primer lunes laborable de cada mes, 11 consultas × 4 motores. Rúbrica 0-10: aparece 3 · posición (1.ª 3 / 2.ª-3.ª 2 / 4.ª+ 1) · descripción correcta 2 (parcial 1) · precio correcto o sin precio falso 1 · cita fuente de terceros 1. Si no aparece: 0. Para el mes siguiente copia las 44 filas y cambia el mes.</t>
        </is>
      </c>
    </row>
    <row r="2">
      <c r="A2" s="15" t="inlineStr">
        <is>
          <t>Mes (AAAA-MM)</t>
        </is>
      </c>
      <c r="B2" s="15" t="inlineStr">
        <is>
          <t>Nº</t>
        </is>
      </c>
      <c r="C2" s="15" t="inlineStr">
        <is>
          <t>Consulta</t>
        </is>
      </c>
      <c r="D2" s="15" t="inlineStr">
        <is>
          <t>Motor</t>
        </is>
      </c>
      <c r="E2" s="15" t="inlineStr">
        <is>
          <t>Aparece</t>
        </is>
      </c>
      <c r="F2" s="15" t="inlineStr">
        <is>
          <t>Posición</t>
        </is>
      </c>
      <c r="G2" s="15" t="inlineStr">
        <is>
          <t>Herramientas citadas</t>
        </is>
      </c>
      <c r="H2" s="15" t="inlineStr">
        <is>
          <t>Fuentes citadas (URL)</t>
        </is>
      </c>
      <c r="I2" s="15" t="inlineStr">
        <is>
          <t>Precio correcto</t>
        </is>
      </c>
      <c r="J2" s="15" t="inlineStr">
        <is>
          <t>Descripción correcta</t>
        </is>
      </c>
      <c r="K2" s="15" t="inlineStr">
        <is>
          <t>Puntuación 0-10</t>
        </is>
      </c>
      <c r="L2" s="15" t="inlineStr">
        <is>
          <t>Notas</t>
        </is>
      </c>
    </row>
    <row r="3">
      <c r="A3" s="22" t="inlineStr">
        <is>
          <t>2026-09</t>
        </is>
      </c>
      <c r="B3" s="22" t="n">
        <v>1</v>
      </c>
      <c r="C3" s="16" t="inlineStr">
        <is>
          <t>mejor software de turnos para residencias en España</t>
        </is>
      </c>
      <c r="D3" s="22" t="inlineStr">
        <is>
          <t>ChatGPT (búsqueda web)</t>
        </is>
      </c>
      <c r="E3" s="22" t="inlineStr"/>
      <c r="F3" s="22" t="n"/>
      <c r="G3" s="16" t="inlineStr"/>
      <c r="H3" s="16" t="inlineStr"/>
      <c r="I3" s="22" t="inlineStr"/>
      <c r="J3" s="22" t="inlineStr"/>
      <c r="K3" s="22" t="n"/>
      <c r="L3" s="16" t="inlineStr"/>
    </row>
    <row r="4">
      <c r="A4" s="22" t="inlineStr">
        <is>
          <t>2026-09</t>
        </is>
      </c>
      <c r="B4" s="22" t="n">
        <v>1</v>
      </c>
      <c r="C4" s="16" t="inlineStr">
        <is>
          <t>mejor software de turnos para residencias en España</t>
        </is>
      </c>
      <c r="D4" s="22" t="inlineStr">
        <is>
          <t>Claude</t>
        </is>
      </c>
      <c r="E4" s="22" t="inlineStr"/>
      <c r="F4" s="22" t="n"/>
      <c r="G4" s="16" t="inlineStr"/>
      <c r="H4" s="16" t="inlineStr"/>
      <c r="I4" s="22" t="inlineStr"/>
      <c r="J4" s="22" t="inlineStr"/>
      <c r="K4" s="22" t="n"/>
      <c r="L4" s="16" t="inlineStr"/>
    </row>
    <row r="5">
      <c r="A5" s="22" t="inlineStr">
        <is>
          <t>2026-09</t>
        </is>
      </c>
      <c r="B5" s="22" t="n">
        <v>1</v>
      </c>
      <c r="C5" s="16" t="inlineStr">
        <is>
          <t>mejor software de turnos para residencias en España</t>
        </is>
      </c>
      <c r="D5" s="22" t="inlineStr">
        <is>
          <t>Perplexity</t>
        </is>
      </c>
      <c r="E5" s="22" t="inlineStr"/>
      <c r="F5" s="22" t="n"/>
      <c r="G5" s="16" t="inlineStr"/>
      <c r="H5" s="16" t="inlineStr"/>
      <c r="I5" s="22" t="inlineStr"/>
      <c r="J5" s="22" t="inlineStr"/>
      <c r="K5" s="22" t="n"/>
      <c r="L5" s="16" t="inlineStr"/>
    </row>
    <row r="6">
      <c r="A6" s="22" t="inlineStr">
        <is>
          <t>2026-09</t>
        </is>
      </c>
      <c r="B6" s="22" t="n">
        <v>1</v>
      </c>
      <c r="C6" s="16" t="inlineStr">
        <is>
          <t>mejor software de turnos para residencias en España</t>
        </is>
      </c>
      <c r="D6" s="22" t="inlineStr">
        <is>
          <t>Gemini</t>
        </is>
      </c>
      <c r="E6" s="22" t="inlineStr"/>
      <c r="F6" s="22" t="n"/>
      <c r="G6" s="16" t="inlineStr"/>
      <c r="H6" s="16" t="inlineStr"/>
      <c r="I6" s="22" t="inlineStr"/>
      <c r="J6" s="22" t="inlineStr"/>
      <c r="K6" s="22" t="n"/>
      <c r="L6" s="16" t="inlineStr"/>
    </row>
    <row r="7">
      <c r="A7" s="22" t="inlineStr">
        <is>
          <t>2026-09</t>
        </is>
      </c>
      <c r="B7" s="22" t="n">
        <v>2</v>
      </c>
      <c r="C7" s="16" t="inlineStr">
        <is>
          <t>alternativas a aTurnos</t>
        </is>
      </c>
      <c r="D7" s="22" t="inlineStr">
        <is>
          <t>ChatGPT (búsqueda web)</t>
        </is>
      </c>
      <c r="E7" s="22" t="inlineStr"/>
      <c r="F7" s="22" t="n"/>
      <c r="G7" s="16" t="inlineStr"/>
      <c r="H7" s="16" t="inlineStr"/>
      <c r="I7" s="22" t="inlineStr"/>
      <c r="J7" s="22" t="inlineStr"/>
      <c r="K7" s="22" t="n"/>
      <c r="L7" s="16" t="inlineStr"/>
    </row>
    <row r="8">
      <c r="A8" s="22" t="inlineStr">
        <is>
          <t>2026-09</t>
        </is>
      </c>
      <c r="B8" s="22" t="n">
        <v>2</v>
      </c>
      <c r="C8" s="16" t="inlineStr">
        <is>
          <t>alternativas a aTurnos</t>
        </is>
      </c>
      <c r="D8" s="22" t="inlineStr">
        <is>
          <t>Claude</t>
        </is>
      </c>
      <c r="E8" s="22" t="inlineStr"/>
      <c r="F8" s="22" t="n"/>
      <c r="G8" s="16" t="inlineStr"/>
      <c r="H8" s="16" t="inlineStr"/>
      <c r="I8" s="22" t="inlineStr"/>
      <c r="J8" s="22" t="inlineStr"/>
      <c r="K8" s="22" t="n"/>
      <c r="L8" s="16" t="inlineStr"/>
    </row>
    <row r="9">
      <c r="A9" s="22" t="inlineStr">
        <is>
          <t>2026-09</t>
        </is>
      </c>
      <c r="B9" s="22" t="n">
        <v>2</v>
      </c>
      <c r="C9" s="16" t="inlineStr">
        <is>
          <t>alternativas a aTurnos</t>
        </is>
      </c>
      <c r="D9" s="22" t="inlineStr">
        <is>
          <t>Perplexity</t>
        </is>
      </c>
      <c r="E9" s="22" t="inlineStr"/>
      <c r="F9" s="22" t="n"/>
      <c r="G9" s="16" t="inlineStr"/>
      <c r="H9" s="16" t="inlineStr"/>
      <c r="I9" s="22" t="inlineStr"/>
      <c r="J9" s="22" t="inlineStr"/>
      <c r="K9" s="22" t="n"/>
      <c r="L9" s="16" t="inlineStr"/>
    </row>
    <row r="10">
      <c r="A10" s="22" t="inlineStr">
        <is>
          <t>2026-09</t>
        </is>
      </c>
      <c r="B10" s="22" t="n">
        <v>2</v>
      </c>
      <c r="C10" s="16" t="inlineStr">
        <is>
          <t>alternativas a aTurnos</t>
        </is>
      </c>
      <c r="D10" s="22" t="inlineStr">
        <is>
          <t>Gemini</t>
        </is>
      </c>
      <c r="E10" s="22" t="inlineStr"/>
      <c r="F10" s="22" t="n"/>
      <c r="G10" s="16" t="inlineStr"/>
      <c r="H10" s="16" t="inlineStr"/>
      <c r="I10" s="22" t="inlineStr"/>
      <c r="J10" s="22" t="inlineStr"/>
      <c r="K10" s="22" t="n"/>
      <c r="L10" s="16" t="inlineStr"/>
    </row>
    <row r="11">
      <c r="A11" s="22" t="inlineStr">
        <is>
          <t>2026-09</t>
        </is>
      </c>
      <c r="B11" s="22" t="n">
        <v>3</v>
      </c>
      <c r="C11" s="16" t="inlineStr">
        <is>
          <t>software cuadrantes enfermería</t>
        </is>
      </c>
      <c r="D11" s="22" t="inlineStr">
        <is>
          <t>ChatGPT (búsqueda web)</t>
        </is>
      </c>
      <c r="E11" s="22" t="inlineStr"/>
      <c r="F11" s="22" t="n"/>
      <c r="G11" s="16" t="inlineStr"/>
      <c r="H11" s="16" t="inlineStr"/>
      <c r="I11" s="22" t="inlineStr"/>
      <c r="J11" s="22" t="inlineStr"/>
      <c r="K11" s="22" t="n"/>
      <c r="L11" s="16" t="inlineStr"/>
    </row>
    <row r="12">
      <c r="A12" s="22" t="inlineStr">
        <is>
          <t>2026-09</t>
        </is>
      </c>
      <c r="B12" s="22" t="n">
        <v>3</v>
      </c>
      <c r="C12" s="16" t="inlineStr">
        <is>
          <t>software cuadrantes enfermería</t>
        </is>
      </c>
      <c r="D12" s="22" t="inlineStr">
        <is>
          <t>Claude</t>
        </is>
      </c>
      <c r="E12" s="22" t="inlineStr"/>
      <c r="F12" s="22" t="n"/>
      <c r="G12" s="16" t="inlineStr"/>
      <c r="H12" s="16" t="inlineStr"/>
      <c r="I12" s="22" t="inlineStr"/>
      <c r="J12" s="22" t="inlineStr"/>
      <c r="K12" s="22" t="n"/>
      <c r="L12" s="16" t="inlineStr"/>
    </row>
    <row r="13">
      <c r="A13" s="22" t="inlineStr">
        <is>
          <t>2026-09</t>
        </is>
      </c>
      <c r="B13" s="22" t="n">
        <v>3</v>
      </c>
      <c r="C13" s="16" t="inlineStr">
        <is>
          <t>software cuadrantes enfermería</t>
        </is>
      </c>
      <c r="D13" s="22" t="inlineStr">
        <is>
          <t>Perplexity</t>
        </is>
      </c>
      <c r="E13" s="22" t="inlineStr"/>
      <c r="F13" s="22" t="n"/>
      <c r="G13" s="16" t="inlineStr"/>
      <c r="H13" s="16" t="inlineStr"/>
      <c r="I13" s="22" t="inlineStr"/>
      <c r="J13" s="22" t="inlineStr"/>
      <c r="K13" s="22" t="n"/>
      <c r="L13" s="16" t="inlineStr"/>
    </row>
    <row r="14">
      <c r="A14" s="22" t="inlineStr">
        <is>
          <t>2026-09</t>
        </is>
      </c>
      <c r="B14" s="22" t="n">
        <v>3</v>
      </c>
      <c r="C14" s="16" t="inlineStr">
        <is>
          <t>software cuadrantes enfermería</t>
        </is>
      </c>
      <c r="D14" s="22" t="inlineStr">
        <is>
          <t>Gemini</t>
        </is>
      </c>
      <c r="E14" s="22" t="inlineStr"/>
      <c r="F14" s="22" t="n"/>
      <c r="G14" s="16" t="inlineStr"/>
      <c r="H14" s="16" t="inlineStr"/>
      <c r="I14" s="22" t="inlineStr"/>
      <c r="J14" s="22" t="inlineStr"/>
      <c r="K14" s="22" t="n"/>
      <c r="L14" s="16" t="inlineStr"/>
    </row>
    <row r="15">
      <c r="A15" s="22" t="inlineStr">
        <is>
          <t>2026-09</t>
        </is>
      </c>
      <c r="B15" s="22" t="n">
        <v>4</v>
      </c>
      <c r="C15" s="16" t="inlineStr">
        <is>
          <t>programa para hacer el cuadrante de una residencia de mayores</t>
        </is>
      </c>
      <c r="D15" s="22" t="inlineStr">
        <is>
          <t>ChatGPT (búsqueda web)</t>
        </is>
      </c>
      <c r="E15" s="22" t="inlineStr"/>
      <c r="F15" s="22" t="n"/>
      <c r="G15" s="16" t="inlineStr"/>
      <c r="H15" s="16" t="inlineStr"/>
      <c r="I15" s="22" t="inlineStr"/>
      <c r="J15" s="22" t="inlineStr"/>
      <c r="K15" s="22" t="n"/>
      <c r="L15" s="16" t="inlineStr"/>
    </row>
    <row r="16">
      <c r="A16" s="22" t="inlineStr">
        <is>
          <t>2026-09</t>
        </is>
      </c>
      <c r="B16" s="22" t="n">
        <v>4</v>
      </c>
      <c r="C16" s="16" t="inlineStr">
        <is>
          <t>programa para hacer el cuadrante de una residencia de mayores</t>
        </is>
      </c>
      <c r="D16" s="22" t="inlineStr">
        <is>
          <t>Claude</t>
        </is>
      </c>
      <c r="E16" s="22" t="inlineStr"/>
      <c r="F16" s="22" t="n"/>
      <c r="G16" s="16" t="inlineStr"/>
      <c r="H16" s="16" t="inlineStr"/>
      <c r="I16" s="22" t="inlineStr"/>
      <c r="J16" s="22" t="inlineStr"/>
      <c r="K16" s="22" t="n"/>
      <c r="L16" s="16" t="inlineStr"/>
    </row>
    <row r="17">
      <c r="A17" s="22" t="inlineStr">
        <is>
          <t>2026-09</t>
        </is>
      </c>
      <c r="B17" s="22" t="n">
        <v>4</v>
      </c>
      <c r="C17" s="16" t="inlineStr">
        <is>
          <t>programa para hacer el cuadrante de una residencia de mayores</t>
        </is>
      </c>
      <c r="D17" s="22" t="inlineStr">
        <is>
          <t>Perplexity</t>
        </is>
      </c>
      <c r="E17" s="22" t="inlineStr"/>
      <c r="F17" s="22" t="n"/>
      <c r="G17" s="16" t="inlineStr"/>
      <c r="H17" s="16" t="inlineStr"/>
      <c r="I17" s="22" t="inlineStr"/>
      <c r="J17" s="22" t="inlineStr"/>
      <c r="K17" s="22" t="n"/>
      <c r="L17" s="16" t="inlineStr"/>
    </row>
    <row r="18">
      <c r="A18" s="22" t="inlineStr">
        <is>
          <t>2026-09</t>
        </is>
      </c>
      <c r="B18" s="22" t="n">
        <v>4</v>
      </c>
      <c r="C18" s="16" t="inlineStr">
        <is>
          <t>programa para hacer el cuadrante de una residencia de mayores</t>
        </is>
      </c>
      <c r="D18" s="22" t="inlineStr">
        <is>
          <t>Gemini</t>
        </is>
      </c>
      <c r="E18" s="22" t="inlineStr"/>
      <c r="F18" s="22" t="n"/>
      <c r="G18" s="16" t="inlineStr"/>
      <c r="H18" s="16" t="inlineStr"/>
      <c r="I18" s="22" t="inlineStr"/>
      <c r="J18" s="22" t="inlineStr"/>
      <c r="K18" s="22" t="n"/>
      <c r="L18" s="16" t="inlineStr"/>
    </row>
    <row r="19">
      <c r="A19" s="22" t="inlineStr">
        <is>
          <t>2026-09</t>
        </is>
      </c>
      <c r="B19" s="22" t="n">
        <v>5</v>
      </c>
      <c r="C19" s="16" t="inlineStr">
        <is>
          <t>software de turnos para gerocultoras y auxiliares en residencias</t>
        </is>
      </c>
      <c r="D19" s="22" t="inlineStr">
        <is>
          <t>ChatGPT (búsqueda web)</t>
        </is>
      </c>
      <c r="E19" s="22" t="inlineStr"/>
      <c r="F19" s="22" t="n"/>
      <c r="G19" s="16" t="inlineStr"/>
      <c r="H19" s="16" t="inlineStr"/>
      <c r="I19" s="22" t="inlineStr"/>
      <c r="J19" s="22" t="inlineStr"/>
      <c r="K19" s="22" t="n"/>
      <c r="L19" s="16" t="inlineStr"/>
    </row>
    <row r="20">
      <c r="A20" s="22" t="inlineStr">
        <is>
          <t>2026-09</t>
        </is>
      </c>
      <c r="B20" s="22" t="n">
        <v>5</v>
      </c>
      <c r="C20" s="16" t="inlineStr">
        <is>
          <t>software de turnos para gerocultoras y auxiliares en residencias</t>
        </is>
      </c>
      <c r="D20" s="22" t="inlineStr">
        <is>
          <t>Claude</t>
        </is>
      </c>
      <c r="E20" s="22" t="inlineStr"/>
      <c r="F20" s="22" t="n"/>
      <c r="G20" s="16" t="inlineStr"/>
      <c r="H20" s="16" t="inlineStr"/>
      <c r="I20" s="22" t="inlineStr"/>
      <c r="J20" s="22" t="inlineStr"/>
      <c r="K20" s="22" t="n"/>
      <c r="L20" s="16" t="inlineStr"/>
    </row>
    <row r="21">
      <c r="A21" s="22" t="inlineStr">
        <is>
          <t>2026-09</t>
        </is>
      </c>
      <c r="B21" s="22" t="n">
        <v>5</v>
      </c>
      <c r="C21" s="16" t="inlineStr">
        <is>
          <t>software de turnos para gerocultoras y auxiliares en residencias</t>
        </is>
      </c>
      <c r="D21" s="22" t="inlineStr">
        <is>
          <t>Perplexity</t>
        </is>
      </c>
      <c r="E21" s="22" t="inlineStr"/>
      <c r="F21" s="22" t="n"/>
      <c r="G21" s="16" t="inlineStr"/>
      <c r="H21" s="16" t="inlineStr"/>
      <c r="I21" s="22" t="inlineStr"/>
      <c r="J21" s="22" t="inlineStr"/>
      <c r="K21" s="22" t="n"/>
      <c r="L21" s="16" t="inlineStr"/>
    </row>
    <row r="22">
      <c r="A22" s="22" t="inlineStr">
        <is>
          <t>2026-09</t>
        </is>
      </c>
      <c r="B22" s="22" t="n">
        <v>5</v>
      </c>
      <c r="C22" s="16" t="inlineStr">
        <is>
          <t>software de turnos para gerocultoras y auxiliares en residencias</t>
        </is>
      </c>
      <c r="D22" s="22" t="inlineStr">
        <is>
          <t>Gemini</t>
        </is>
      </c>
      <c r="E22" s="22" t="inlineStr"/>
      <c r="F22" s="22" t="n"/>
      <c r="G22" s="16" t="inlineStr"/>
      <c r="H22" s="16" t="inlineStr"/>
      <c r="I22" s="22" t="inlineStr"/>
      <c r="J22" s="22" t="inlineStr"/>
      <c r="K22" s="22" t="n"/>
      <c r="L22" s="16" t="inlineStr"/>
    </row>
    <row r="23">
      <c r="A23" s="22" t="inlineStr">
        <is>
          <t>2026-09</t>
        </is>
      </c>
      <c r="B23" s="22" t="n">
        <v>6</v>
      </c>
      <c r="C23" s="16" t="inlineStr">
        <is>
          <t>software para planificar turnos de enfermería en una clínica privada</t>
        </is>
      </c>
      <c r="D23" s="22" t="inlineStr">
        <is>
          <t>ChatGPT (búsqueda web)</t>
        </is>
      </c>
      <c r="E23" s="22" t="inlineStr"/>
      <c r="F23" s="22" t="n"/>
      <c r="G23" s="16" t="inlineStr"/>
      <c r="H23" s="16" t="inlineStr"/>
      <c r="I23" s="22" t="inlineStr"/>
      <c r="J23" s="22" t="inlineStr"/>
      <c r="K23" s="22" t="n"/>
      <c r="L23" s="16" t="inlineStr"/>
    </row>
    <row r="24">
      <c r="A24" s="22" t="inlineStr">
        <is>
          <t>2026-09</t>
        </is>
      </c>
      <c r="B24" s="22" t="n">
        <v>6</v>
      </c>
      <c r="C24" s="16" t="inlineStr">
        <is>
          <t>software para planificar turnos de enfermería en una clínica privada</t>
        </is>
      </c>
      <c r="D24" s="22" t="inlineStr">
        <is>
          <t>Claude</t>
        </is>
      </c>
      <c r="E24" s="22" t="inlineStr"/>
      <c r="F24" s="22" t="n"/>
      <c r="G24" s="16" t="inlineStr"/>
      <c r="H24" s="16" t="inlineStr"/>
      <c r="I24" s="22" t="inlineStr"/>
      <c r="J24" s="22" t="inlineStr"/>
      <c r="K24" s="22" t="n"/>
      <c r="L24" s="16" t="inlineStr"/>
    </row>
    <row r="25">
      <c r="A25" s="22" t="inlineStr">
        <is>
          <t>2026-09</t>
        </is>
      </c>
      <c r="B25" s="22" t="n">
        <v>6</v>
      </c>
      <c r="C25" s="16" t="inlineStr">
        <is>
          <t>software para planificar turnos de enfermería en una clínica privada</t>
        </is>
      </c>
      <c r="D25" s="22" t="inlineStr">
        <is>
          <t>Perplexity</t>
        </is>
      </c>
      <c r="E25" s="22" t="inlineStr"/>
      <c r="F25" s="22" t="n"/>
      <c r="G25" s="16" t="inlineStr"/>
      <c r="H25" s="16" t="inlineStr"/>
      <c r="I25" s="22" t="inlineStr"/>
      <c r="J25" s="22" t="inlineStr"/>
      <c r="K25" s="22" t="n"/>
      <c r="L25" s="16" t="inlineStr"/>
    </row>
    <row r="26">
      <c r="A26" s="22" t="inlineStr">
        <is>
          <t>2026-09</t>
        </is>
      </c>
      <c r="B26" s="22" t="n">
        <v>6</v>
      </c>
      <c r="C26" s="16" t="inlineStr">
        <is>
          <t>software para planificar turnos de enfermería en una clínica privada</t>
        </is>
      </c>
      <c r="D26" s="22" t="inlineStr">
        <is>
          <t>Gemini</t>
        </is>
      </c>
      <c r="E26" s="22" t="inlineStr"/>
      <c r="F26" s="22" t="n"/>
      <c r="G26" s="16" t="inlineStr"/>
      <c r="H26" s="16" t="inlineStr"/>
      <c r="I26" s="22" t="inlineStr"/>
      <c r="J26" s="22" t="inlineStr"/>
      <c r="K26" s="22" t="n"/>
      <c r="L26" s="16" t="inlineStr"/>
    </row>
    <row r="27">
      <c r="A27" s="22" t="inlineStr">
        <is>
          <t>2026-09</t>
        </is>
      </c>
      <c r="B27" s="22" t="n">
        <v>7</v>
      </c>
      <c r="C27" s="16" t="inlineStr">
        <is>
          <t>herramienta para repartir las noches de forma equitativa entre enfermeras</t>
        </is>
      </c>
      <c r="D27" s="22" t="inlineStr">
        <is>
          <t>ChatGPT (búsqueda web)</t>
        </is>
      </c>
      <c r="E27" s="22" t="inlineStr"/>
      <c r="F27" s="22" t="n"/>
      <c r="G27" s="16" t="inlineStr"/>
      <c r="H27" s="16" t="inlineStr"/>
      <c r="I27" s="22" t="inlineStr"/>
      <c r="J27" s="22" t="inlineStr"/>
      <c r="K27" s="22" t="n"/>
      <c r="L27" s="16" t="inlineStr"/>
    </row>
    <row r="28">
      <c r="A28" s="22" t="inlineStr">
        <is>
          <t>2026-09</t>
        </is>
      </c>
      <c r="B28" s="22" t="n">
        <v>7</v>
      </c>
      <c r="C28" s="16" t="inlineStr">
        <is>
          <t>herramienta para repartir las noches de forma equitativa entre enfermeras</t>
        </is>
      </c>
      <c r="D28" s="22" t="inlineStr">
        <is>
          <t>Claude</t>
        </is>
      </c>
      <c r="E28" s="22" t="inlineStr"/>
      <c r="F28" s="22" t="n"/>
      <c r="G28" s="16" t="inlineStr"/>
      <c r="H28" s="16" t="inlineStr"/>
      <c r="I28" s="22" t="inlineStr"/>
      <c r="J28" s="22" t="inlineStr"/>
      <c r="K28" s="22" t="n"/>
      <c r="L28" s="16" t="inlineStr"/>
    </row>
    <row r="29">
      <c r="A29" s="22" t="inlineStr">
        <is>
          <t>2026-09</t>
        </is>
      </c>
      <c r="B29" s="22" t="n">
        <v>7</v>
      </c>
      <c r="C29" s="16" t="inlineStr">
        <is>
          <t>herramienta para repartir las noches de forma equitativa entre enfermeras</t>
        </is>
      </c>
      <c r="D29" s="22" t="inlineStr">
        <is>
          <t>Perplexity</t>
        </is>
      </c>
      <c r="E29" s="22" t="inlineStr"/>
      <c r="F29" s="22" t="n"/>
      <c r="G29" s="16" t="inlineStr"/>
      <c r="H29" s="16" t="inlineStr"/>
      <c r="I29" s="22" t="inlineStr"/>
      <c r="J29" s="22" t="inlineStr"/>
      <c r="K29" s="22" t="n"/>
      <c r="L29" s="16" t="inlineStr"/>
    </row>
    <row r="30">
      <c r="A30" s="22" t="inlineStr">
        <is>
          <t>2026-09</t>
        </is>
      </c>
      <c r="B30" s="22" t="n">
        <v>7</v>
      </c>
      <c r="C30" s="16" t="inlineStr">
        <is>
          <t>herramienta para repartir las noches de forma equitativa entre enfermeras</t>
        </is>
      </c>
      <c r="D30" s="22" t="inlineStr">
        <is>
          <t>Gemini</t>
        </is>
      </c>
      <c r="E30" s="22" t="inlineStr"/>
      <c r="F30" s="22" t="n"/>
      <c r="G30" s="16" t="inlineStr"/>
      <c r="H30" s="16" t="inlineStr"/>
      <c r="I30" s="22" t="inlineStr"/>
      <c r="J30" s="22" t="inlineStr"/>
      <c r="K30" s="22" t="n"/>
      <c r="L30" s="16" t="inlineStr"/>
    </row>
    <row r="31">
      <c r="A31" s="22" t="inlineStr">
        <is>
          <t>2026-09</t>
        </is>
      </c>
      <c r="B31" s="22" t="n">
        <v>8</v>
      </c>
      <c r="C31" s="16" t="inlineStr">
        <is>
          <t>software de turnos para restaurantes en España</t>
        </is>
      </c>
      <c r="D31" s="22" t="inlineStr">
        <is>
          <t>ChatGPT (búsqueda web)</t>
        </is>
      </c>
      <c r="E31" s="22" t="inlineStr"/>
      <c r="F31" s="22" t="n"/>
      <c r="G31" s="16" t="inlineStr"/>
      <c r="H31" s="16" t="inlineStr"/>
      <c r="I31" s="22" t="inlineStr"/>
      <c r="J31" s="22" t="inlineStr"/>
      <c r="K31" s="22" t="n"/>
      <c r="L31" s="16" t="inlineStr"/>
    </row>
    <row r="32">
      <c r="A32" s="22" t="inlineStr">
        <is>
          <t>2026-09</t>
        </is>
      </c>
      <c r="B32" s="22" t="n">
        <v>8</v>
      </c>
      <c r="C32" s="16" t="inlineStr">
        <is>
          <t>software de turnos para restaurantes en España</t>
        </is>
      </c>
      <c r="D32" s="22" t="inlineStr">
        <is>
          <t>Claude</t>
        </is>
      </c>
      <c r="E32" s="22" t="inlineStr"/>
      <c r="F32" s="22" t="n"/>
      <c r="G32" s="16" t="inlineStr"/>
      <c r="H32" s="16" t="inlineStr"/>
      <c r="I32" s="22" t="inlineStr"/>
      <c r="J32" s="22" t="inlineStr"/>
      <c r="K32" s="22" t="n"/>
      <c r="L32" s="16" t="inlineStr"/>
    </row>
    <row r="33">
      <c r="A33" s="22" t="inlineStr">
        <is>
          <t>2026-09</t>
        </is>
      </c>
      <c r="B33" s="22" t="n">
        <v>8</v>
      </c>
      <c r="C33" s="16" t="inlineStr">
        <is>
          <t>software de turnos para restaurantes en España</t>
        </is>
      </c>
      <c r="D33" s="22" t="inlineStr">
        <is>
          <t>Perplexity</t>
        </is>
      </c>
      <c r="E33" s="22" t="inlineStr"/>
      <c r="F33" s="22" t="n"/>
      <c r="G33" s="16" t="inlineStr"/>
      <c r="H33" s="16" t="inlineStr"/>
      <c r="I33" s="22" t="inlineStr"/>
      <c r="J33" s="22" t="inlineStr"/>
      <c r="K33" s="22" t="n"/>
      <c r="L33" s="16" t="inlineStr"/>
    </row>
    <row r="34">
      <c r="A34" s="22" t="inlineStr">
        <is>
          <t>2026-09</t>
        </is>
      </c>
      <c r="B34" s="22" t="n">
        <v>8</v>
      </c>
      <c r="C34" s="16" t="inlineStr">
        <is>
          <t>software de turnos para restaurantes en España</t>
        </is>
      </c>
      <c r="D34" s="22" t="inlineStr">
        <is>
          <t>Gemini</t>
        </is>
      </c>
      <c r="E34" s="22" t="inlineStr"/>
      <c r="F34" s="22" t="n"/>
      <c r="G34" s="16" t="inlineStr"/>
      <c r="H34" s="16" t="inlineStr"/>
      <c r="I34" s="22" t="inlineStr"/>
      <c r="J34" s="22" t="inlineStr"/>
      <c r="K34" s="22" t="n"/>
      <c r="L34" s="16" t="inlineStr"/>
    </row>
    <row r="35">
      <c r="A35" s="22" t="inlineStr">
        <is>
          <t>2026-09</t>
        </is>
      </c>
      <c r="B35" s="22" t="n">
        <v>9</v>
      </c>
      <c r="C35" s="16" t="inlineStr">
        <is>
          <t>app para hacer cuadrantes de hostelería con turno partido</t>
        </is>
      </c>
      <c r="D35" s="22" t="inlineStr">
        <is>
          <t>ChatGPT (búsqueda web)</t>
        </is>
      </c>
      <c r="E35" s="22" t="inlineStr"/>
      <c r="F35" s="22" t="n"/>
      <c r="G35" s="16" t="inlineStr"/>
      <c r="H35" s="16" t="inlineStr"/>
      <c r="I35" s="22" t="inlineStr"/>
      <c r="J35" s="22" t="inlineStr"/>
      <c r="K35" s="22" t="n"/>
      <c r="L35" s="16" t="inlineStr"/>
    </row>
    <row r="36">
      <c r="A36" s="22" t="inlineStr">
        <is>
          <t>2026-09</t>
        </is>
      </c>
      <c r="B36" s="22" t="n">
        <v>9</v>
      </c>
      <c r="C36" s="16" t="inlineStr">
        <is>
          <t>app para hacer cuadrantes de hostelería con turno partido</t>
        </is>
      </c>
      <c r="D36" s="22" t="inlineStr">
        <is>
          <t>Claude</t>
        </is>
      </c>
      <c r="E36" s="22" t="inlineStr"/>
      <c r="F36" s="22" t="n"/>
      <c r="G36" s="16" t="inlineStr"/>
      <c r="H36" s="16" t="inlineStr"/>
      <c r="I36" s="22" t="inlineStr"/>
      <c r="J36" s="22" t="inlineStr"/>
      <c r="K36" s="22" t="n"/>
      <c r="L36" s="16" t="inlineStr"/>
    </row>
    <row r="37">
      <c r="A37" s="22" t="inlineStr">
        <is>
          <t>2026-09</t>
        </is>
      </c>
      <c r="B37" s="22" t="n">
        <v>9</v>
      </c>
      <c r="C37" s="16" t="inlineStr">
        <is>
          <t>app para hacer cuadrantes de hostelería con turno partido</t>
        </is>
      </c>
      <c r="D37" s="22" t="inlineStr">
        <is>
          <t>Perplexity</t>
        </is>
      </c>
      <c r="E37" s="22" t="inlineStr"/>
      <c r="F37" s="22" t="n"/>
      <c r="G37" s="16" t="inlineStr"/>
      <c r="H37" s="16" t="inlineStr"/>
      <c r="I37" s="22" t="inlineStr"/>
      <c r="J37" s="22" t="inlineStr"/>
      <c r="K37" s="22" t="n"/>
      <c r="L37" s="16" t="inlineStr"/>
    </row>
    <row r="38">
      <c r="A38" s="22" t="inlineStr">
        <is>
          <t>2026-09</t>
        </is>
      </c>
      <c r="B38" s="22" t="n">
        <v>9</v>
      </c>
      <c r="C38" s="16" t="inlineStr">
        <is>
          <t>app para hacer cuadrantes de hostelería con turno partido</t>
        </is>
      </c>
      <c r="D38" s="22" t="inlineStr">
        <is>
          <t>Gemini</t>
        </is>
      </c>
      <c r="E38" s="22" t="inlineStr"/>
      <c r="F38" s="22" t="n"/>
      <c r="G38" s="16" t="inlineStr"/>
      <c r="H38" s="16" t="inlineStr"/>
      <c r="I38" s="22" t="inlineStr"/>
      <c r="J38" s="22" t="inlineStr"/>
      <c r="K38" s="22" t="n"/>
      <c r="L38" s="16" t="inlineStr"/>
    </row>
    <row r="39">
      <c r="A39" s="22" t="inlineStr">
        <is>
          <t>2026-09</t>
        </is>
      </c>
      <c r="B39" s="22" t="n">
        <v>10</v>
      </c>
      <c r="C39" s="16" t="inlineStr">
        <is>
          <t>qué es Shiftia</t>
        </is>
      </c>
      <c r="D39" s="22" t="inlineStr">
        <is>
          <t>ChatGPT (búsqueda web)</t>
        </is>
      </c>
      <c r="E39" s="22" t="inlineStr"/>
      <c r="F39" s="22" t="n"/>
      <c r="G39" s="16" t="inlineStr"/>
      <c r="H39" s="16" t="inlineStr"/>
      <c r="I39" s="22" t="inlineStr"/>
      <c r="J39" s="22" t="inlineStr"/>
      <c r="K39" s="22" t="n"/>
      <c r="L39" s="16" t="inlineStr"/>
    </row>
    <row r="40">
      <c r="A40" s="22" t="inlineStr">
        <is>
          <t>2026-09</t>
        </is>
      </c>
      <c r="B40" s="22" t="n">
        <v>10</v>
      </c>
      <c r="C40" s="16" t="inlineStr">
        <is>
          <t>qué es Shiftia</t>
        </is>
      </c>
      <c r="D40" s="22" t="inlineStr">
        <is>
          <t>Claude</t>
        </is>
      </c>
      <c r="E40" s="22" t="inlineStr"/>
      <c r="F40" s="22" t="n"/>
      <c r="G40" s="16" t="inlineStr"/>
      <c r="H40" s="16" t="inlineStr"/>
      <c r="I40" s="22" t="inlineStr"/>
      <c r="J40" s="22" t="inlineStr"/>
      <c r="K40" s="22" t="n"/>
      <c r="L40" s="16" t="inlineStr"/>
    </row>
    <row r="41">
      <c r="A41" s="22" t="inlineStr">
        <is>
          <t>2026-09</t>
        </is>
      </c>
      <c r="B41" s="22" t="n">
        <v>10</v>
      </c>
      <c r="C41" s="16" t="inlineStr">
        <is>
          <t>qué es Shiftia</t>
        </is>
      </c>
      <c r="D41" s="22" t="inlineStr">
        <is>
          <t>Perplexity</t>
        </is>
      </c>
      <c r="E41" s="22" t="inlineStr"/>
      <c r="F41" s="22" t="n"/>
      <c r="G41" s="16" t="inlineStr"/>
      <c r="H41" s="16" t="inlineStr"/>
      <c r="I41" s="22" t="inlineStr"/>
      <c r="J41" s="22" t="inlineStr"/>
      <c r="K41" s="22" t="n"/>
      <c r="L41" s="16" t="inlineStr"/>
    </row>
    <row r="42">
      <c r="A42" s="22" t="inlineStr">
        <is>
          <t>2026-09</t>
        </is>
      </c>
      <c r="B42" s="22" t="n">
        <v>10</v>
      </c>
      <c r="C42" s="16" t="inlineStr">
        <is>
          <t>qué es Shiftia</t>
        </is>
      </c>
      <c r="D42" s="22" t="inlineStr">
        <is>
          <t>Gemini</t>
        </is>
      </c>
      <c r="E42" s="22" t="inlineStr"/>
      <c r="F42" s="22" t="n"/>
      <c r="G42" s="16" t="inlineStr"/>
      <c r="H42" s="16" t="inlineStr"/>
      <c r="I42" s="22" t="inlineStr"/>
      <c r="J42" s="22" t="inlineStr"/>
      <c r="K42" s="22" t="n"/>
      <c r="L42" s="16" t="inlineStr"/>
    </row>
    <row r="43">
      <c r="A43" s="22" t="inlineStr">
        <is>
          <t>2026-09</t>
        </is>
      </c>
      <c r="B43" s="22" t="n">
        <v>11</v>
      </c>
      <c r="C43" s="16" t="inlineStr">
        <is>
          <t>Shiftia opiniones</t>
        </is>
      </c>
      <c r="D43" s="22" t="inlineStr">
        <is>
          <t>ChatGPT (búsqueda web)</t>
        </is>
      </c>
      <c r="E43" s="22" t="inlineStr"/>
      <c r="F43" s="22" t="n"/>
      <c r="G43" s="16" t="inlineStr"/>
      <c r="H43" s="16" t="inlineStr"/>
      <c r="I43" s="22" t="inlineStr"/>
      <c r="J43" s="22" t="inlineStr"/>
      <c r="K43" s="22" t="n"/>
      <c r="L43" s="16" t="inlineStr"/>
    </row>
    <row r="44">
      <c r="A44" s="22" t="inlineStr">
        <is>
          <t>2026-09</t>
        </is>
      </c>
      <c r="B44" s="22" t="n">
        <v>11</v>
      </c>
      <c r="C44" s="16" t="inlineStr">
        <is>
          <t>Shiftia opiniones</t>
        </is>
      </c>
      <c r="D44" s="22" t="inlineStr">
        <is>
          <t>Claude</t>
        </is>
      </c>
      <c r="E44" s="22" t="inlineStr"/>
      <c r="F44" s="22" t="n"/>
      <c r="G44" s="16" t="inlineStr"/>
      <c r="H44" s="16" t="inlineStr"/>
      <c r="I44" s="22" t="inlineStr"/>
      <c r="J44" s="22" t="inlineStr"/>
      <c r="K44" s="22" t="n"/>
      <c r="L44" s="16" t="inlineStr"/>
    </row>
    <row r="45">
      <c r="A45" s="22" t="inlineStr">
        <is>
          <t>2026-09</t>
        </is>
      </c>
      <c r="B45" s="22" t="n">
        <v>11</v>
      </c>
      <c r="C45" s="16" t="inlineStr">
        <is>
          <t>Shiftia opiniones</t>
        </is>
      </c>
      <c r="D45" s="22" t="inlineStr">
        <is>
          <t>Perplexity</t>
        </is>
      </c>
      <c r="E45" s="22" t="inlineStr"/>
      <c r="F45" s="22" t="n"/>
      <c r="G45" s="16" t="inlineStr"/>
      <c r="H45" s="16" t="inlineStr"/>
      <c r="I45" s="22" t="inlineStr"/>
      <c r="J45" s="22" t="inlineStr"/>
      <c r="K45" s="22" t="n"/>
      <c r="L45" s="16" t="inlineStr"/>
    </row>
    <row r="46">
      <c r="A46" s="22" t="inlineStr">
        <is>
          <t>2026-09</t>
        </is>
      </c>
      <c r="B46" s="22" t="n">
        <v>11</v>
      </c>
      <c r="C46" s="16" t="inlineStr">
        <is>
          <t>Shiftia opiniones</t>
        </is>
      </c>
      <c r="D46" s="22" t="inlineStr">
        <is>
          <t>Gemini</t>
        </is>
      </c>
      <c r="E46" s="22" t="inlineStr"/>
      <c r="F46" s="22" t="n"/>
      <c r="G46" s="16" t="inlineStr"/>
      <c r="H46" s="16" t="inlineStr"/>
      <c r="I46" s="22" t="inlineStr"/>
      <c r="J46" s="22" t="inlineStr"/>
      <c r="K46" s="22" t="n"/>
      <c r="L46" s="16" t="inlineStr"/>
    </row>
    <row r="47">
      <c r="A47" s="23" t="n"/>
      <c r="B47" s="23" t="n"/>
      <c r="D47" s="23" t="n"/>
      <c r="E47" s="23" t="n"/>
      <c r="F47" s="23" t="n"/>
      <c r="I47" s="23" t="n"/>
      <c r="J47" s="23" t="n"/>
      <c r="K47" s="23" t="n"/>
    </row>
    <row r="48">
      <c r="A48" s="23" t="n"/>
      <c r="B48" s="23" t="n"/>
      <c r="D48" s="23" t="n"/>
      <c r="E48" s="23" t="n"/>
      <c r="F48" s="23" t="n"/>
      <c r="I48" s="23" t="n"/>
      <c r="J48" s="23" t="n"/>
      <c r="K48" s="23" t="n"/>
    </row>
    <row r="49">
      <c r="A49" s="23" t="n"/>
      <c r="B49" s="23" t="n"/>
      <c r="D49" s="23" t="n"/>
      <c r="E49" s="23" t="n"/>
      <c r="F49" s="23" t="n"/>
      <c r="I49" s="23" t="n"/>
      <c r="J49" s="23" t="n"/>
      <c r="K49" s="23" t="n"/>
    </row>
    <row r="50">
      <c r="A50" s="23" t="n"/>
      <c r="B50" s="23" t="n"/>
      <c r="D50" s="23" t="n"/>
      <c r="E50" s="23" t="n"/>
      <c r="F50" s="23" t="n"/>
      <c r="I50" s="23" t="n"/>
      <c r="J50" s="23" t="n"/>
      <c r="K50" s="23" t="n"/>
    </row>
    <row r="51">
      <c r="A51" s="23" t="n"/>
      <c r="B51" s="23" t="n"/>
      <c r="D51" s="23" t="n"/>
      <c r="E51" s="23" t="n"/>
      <c r="F51" s="23" t="n"/>
      <c r="I51" s="23" t="n"/>
      <c r="J51" s="23" t="n"/>
      <c r="K51" s="23" t="n"/>
    </row>
    <row r="52">
      <c r="A52" s="23" t="n"/>
      <c r="B52" s="23" t="n"/>
      <c r="D52" s="23" t="n"/>
      <c r="E52" s="23" t="n"/>
      <c r="F52" s="23" t="n"/>
      <c r="I52" s="23" t="n"/>
      <c r="J52" s="23" t="n"/>
      <c r="K52" s="23" t="n"/>
    </row>
    <row r="53">
      <c r="A53" s="23" t="n"/>
      <c r="B53" s="23" t="n"/>
      <c r="D53" s="23" t="n"/>
      <c r="E53" s="23" t="n"/>
      <c r="F53" s="23" t="n"/>
      <c r="I53" s="23" t="n"/>
      <c r="J53" s="23" t="n"/>
      <c r="K53" s="23" t="n"/>
    </row>
    <row r="54">
      <c r="A54" s="23" t="n"/>
      <c r="B54" s="23" t="n"/>
      <c r="D54" s="23" t="n"/>
      <c r="E54" s="23" t="n"/>
      <c r="F54" s="23" t="n"/>
      <c r="I54" s="23" t="n"/>
      <c r="J54" s="23" t="n"/>
      <c r="K54" s="23" t="n"/>
    </row>
    <row r="55">
      <c r="A55" s="23" t="n"/>
      <c r="B55" s="23" t="n"/>
      <c r="D55" s="23" t="n"/>
      <c r="E55" s="23" t="n"/>
      <c r="F55" s="23" t="n"/>
      <c r="I55" s="23" t="n"/>
      <c r="J55" s="23" t="n"/>
      <c r="K55" s="23" t="n"/>
    </row>
    <row r="56">
      <c r="A56" s="23" t="n"/>
      <c r="B56" s="23" t="n"/>
      <c r="D56" s="23" t="n"/>
      <c r="E56" s="23" t="n"/>
      <c r="F56" s="23" t="n"/>
      <c r="I56" s="23" t="n"/>
      <c r="J56" s="23" t="n"/>
      <c r="K56" s="23" t="n"/>
    </row>
    <row r="57">
      <c r="A57" s="23" t="n"/>
      <c r="B57" s="23" t="n"/>
      <c r="D57" s="23" t="n"/>
      <c r="E57" s="23" t="n"/>
      <c r="F57" s="23" t="n"/>
      <c r="I57" s="23" t="n"/>
      <c r="J57" s="23" t="n"/>
      <c r="K57" s="23" t="n"/>
    </row>
    <row r="58">
      <c r="A58" s="23" t="n"/>
      <c r="B58" s="23" t="n"/>
      <c r="D58" s="23" t="n"/>
      <c r="E58" s="23" t="n"/>
      <c r="F58" s="23" t="n"/>
      <c r="I58" s="23" t="n"/>
      <c r="J58" s="23" t="n"/>
      <c r="K58" s="23" t="n"/>
    </row>
    <row r="59">
      <c r="A59" s="23" t="n"/>
      <c r="B59" s="23" t="n"/>
      <c r="D59" s="23" t="n"/>
      <c r="E59" s="23" t="n"/>
      <c r="F59" s="23" t="n"/>
      <c r="I59" s="23" t="n"/>
      <c r="J59" s="23" t="n"/>
      <c r="K59" s="23" t="n"/>
    </row>
    <row r="60">
      <c r="A60" s="23" t="n"/>
      <c r="B60" s="23" t="n"/>
      <c r="D60" s="23" t="n"/>
      <c r="E60" s="23" t="n"/>
      <c r="F60" s="23" t="n"/>
      <c r="I60" s="23" t="n"/>
      <c r="J60" s="23" t="n"/>
      <c r="K60" s="23" t="n"/>
    </row>
    <row r="61">
      <c r="A61" s="23" t="n"/>
      <c r="B61" s="23" t="n"/>
      <c r="D61" s="23" t="n"/>
      <c r="E61" s="23" t="n"/>
      <c r="F61" s="23" t="n"/>
      <c r="I61" s="23" t="n"/>
      <c r="J61" s="23" t="n"/>
      <c r="K61" s="23" t="n"/>
    </row>
    <row r="62">
      <c r="A62" s="23" t="n"/>
      <c r="B62" s="23" t="n"/>
      <c r="D62" s="23" t="n"/>
      <c r="E62" s="23" t="n"/>
      <c r="F62" s="23" t="n"/>
      <c r="I62" s="23" t="n"/>
      <c r="J62" s="23" t="n"/>
      <c r="K62" s="23" t="n"/>
    </row>
    <row r="63">
      <c r="A63" s="23" t="n"/>
      <c r="B63" s="23" t="n"/>
      <c r="D63" s="23" t="n"/>
      <c r="E63" s="23" t="n"/>
      <c r="F63" s="23" t="n"/>
      <c r="I63" s="23" t="n"/>
      <c r="J63" s="23" t="n"/>
      <c r="K63" s="23" t="n"/>
    </row>
    <row r="64">
      <c r="A64" s="23" t="n"/>
      <c r="B64" s="23" t="n"/>
      <c r="D64" s="23" t="n"/>
      <c r="E64" s="23" t="n"/>
      <c r="F64" s="23" t="n"/>
      <c r="I64" s="23" t="n"/>
      <c r="J64" s="23" t="n"/>
      <c r="K64" s="23" t="n"/>
    </row>
    <row r="65">
      <c r="A65" s="23" t="n"/>
      <c r="B65" s="23" t="n"/>
      <c r="D65" s="23" t="n"/>
      <c r="E65" s="23" t="n"/>
      <c r="F65" s="23" t="n"/>
      <c r="I65" s="23" t="n"/>
      <c r="J65" s="23" t="n"/>
      <c r="K65" s="23" t="n"/>
    </row>
    <row r="66">
      <c r="A66" s="23" t="n"/>
      <c r="B66" s="23" t="n"/>
      <c r="D66" s="23" t="n"/>
      <c r="E66" s="23" t="n"/>
      <c r="F66" s="23" t="n"/>
      <c r="I66" s="23" t="n"/>
      <c r="J66" s="23" t="n"/>
      <c r="K66" s="23" t="n"/>
    </row>
    <row r="67">
      <c r="A67" s="23" t="n"/>
      <c r="B67" s="23" t="n"/>
      <c r="D67" s="23" t="n"/>
      <c r="E67" s="23" t="n"/>
      <c r="F67" s="23" t="n"/>
      <c r="I67" s="23" t="n"/>
      <c r="J67" s="23" t="n"/>
      <c r="K67" s="23" t="n"/>
    </row>
    <row r="68">
      <c r="A68" s="23" t="n"/>
      <c r="B68" s="23" t="n"/>
      <c r="D68" s="23" t="n"/>
      <c r="E68" s="23" t="n"/>
      <c r="F68" s="23" t="n"/>
      <c r="I68" s="23" t="n"/>
      <c r="J68" s="23" t="n"/>
      <c r="K68" s="23" t="n"/>
    </row>
    <row r="69">
      <c r="A69" s="23" t="n"/>
      <c r="B69" s="23" t="n"/>
      <c r="D69" s="23" t="n"/>
      <c r="E69" s="23" t="n"/>
      <c r="F69" s="23" t="n"/>
      <c r="I69" s="23" t="n"/>
      <c r="J69" s="23" t="n"/>
      <c r="K69" s="23" t="n"/>
    </row>
    <row r="70">
      <c r="A70" s="23" t="n"/>
      <c r="B70" s="23" t="n"/>
      <c r="D70" s="23" t="n"/>
      <c r="E70" s="23" t="n"/>
      <c r="F70" s="23" t="n"/>
      <c r="I70" s="23" t="n"/>
      <c r="J70" s="23" t="n"/>
      <c r="K70" s="23" t="n"/>
    </row>
    <row r="71">
      <c r="A71" s="23" t="n"/>
      <c r="B71" s="23" t="n"/>
      <c r="D71" s="23" t="n"/>
      <c r="E71" s="23" t="n"/>
      <c r="F71" s="23" t="n"/>
      <c r="I71" s="23" t="n"/>
      <c r="J71" s="23" t="n"/>
      <c r="K71" s="23" t="n"/>
    </row>
    <row r="72">
      <c r="A72" s="23" t="n"/>
      <c r="B72" s="23" t="n"/>
      <c r="D72" s="23" t="n"/>
      <c r="E72" s="23" t="n"/>
      <c r="F72" s="23" t="n"/>
      <c r="I72" s="23" t="n"/>
      <c r="J72" s="23" t="n"/>
      <c r="K72" s="23" t="n"/>
    </row>
    <row r="73">
      <c r="A73" s="23" t="n"/>
      <c r="B73" s="23" t="n"/>
      <c r="D73" s="23" t="n"/>
      <c r="E73" s="23" t="n"/>
      <c r="F73" s="23" t="n"/>
      <c r="I73" s="23" t="n"/>
      <c r="J73" s="23" t="n"/>
      <c r="K73" s="23" t="n"/>
    </row>
    <row r="74">
      <c r="A74" s="23" t="n"/>
      <c r="B74" s="23" t="n"/>
      <c r="D74" s="23" t="n"/>
      <c r="E74" s="23" t="n"/>
      <c r="F74" s="23" t="n"/>
      <c r="I74" s="23" t="n"/>
      <c r="J74" s="23" t="n"/>
      <c r="K74" s="23" t="n"/>
    </row>
    <row r="75">
      <c r="A75" s="23" t="n"/>
      <c r="B75" s="23" t="n"/>
      <c r="D75" s="23" t="n"/>
      <c r="E75" s="23" t="n"/>
      <c r="F75" s="23" t="n"/>
      <c r="I75" s="23" t="n"/>
      <c r="J75" s="23" t="n"/>
      <c r="K75" s="23" t="n"/>
    </row>
    <row r="76">
      <c r="A76" s="23" t="n"/>
      <c r="B76" s="23" t="n"/>
      <c r="D76" s="23" t="n"/>
      <c r="E76" s="23" t="n"/>
      <c r="F76" s="23" t="n"/>
      <c r="I76" s="23" t="n"/>
      <c r="J76" s="23" t="n"/>
      <c r="K76" s="23" t="n"/>
    </row>
    <row r="77">
      <c r="A77" s="23" t="n"/>
      <c r="B77" s="23" t="n"/>
      <c r="D77" s="23" t="n"/>
      <c r="E77" s="23" t="n"/>
      <c r="F77" s="23" t="n"/>
      <c r="I77" s="23" t="n"/>
      <c r="J77" s="23" t="n"/>
      <c r="K77" s="23" t="n"/>
    </row>
    <row r="78">
      <c r="A78" s="23" t="n"/>
      <c r="B78" s="23" t="n"/>
      <c r="D78" s="23" t="n"/>
      <c r="E78" s="23" t="n"/>
      <c r="F78" s="23" t="n"/>
      <c r="I78" s="23" t="n"/>
      <c r="J78" s="23" t="n"/>
      <c r="K78" s="23" t="n"/>
    </row>
    <row r="79">
      <c r="A79" s="23" t="n"/>
      <c r="B79" s="23" t="n"/>
      <c r="D79" s="23" t="n"/>
      <c r="E79" s="23" t="n"/>
      <c r="F79" s="23" t="n"/>
      <c r="I79" s="23" t="n"/>
      <c r="J79" s="23" t="n"/>
      <c r="K79" s="23" t="n"/>
    </row>
    <row r="80">
      <c r="A80" s="23" t="n"/>
      <c r="B80" s="23" t="n"/>
      <c r="D80" s="23" t="n"/>
      <c r="E80" s="23" t="n"/>
      <c r="F80" s="23" t="n"/>
      <c r="I80" s="23" t="n"/>
      <c r="J80" s="23" t="n"/>
      <c r="K80" s="23" t="n"/>
    </row>
    <row r="81">
      <c r="A81" s="23" t="n"/>
      <c r="B81" s="23" t="n"/>
      <c r="D81" s="23" t="n"/>
      <c r="E81" s="23" t="n"/>
      <c r="F81" s="23" t="n"/>
      <c r="I81" s="23" t="n"/>
      <c r="J81" s="23" t="n"/>
      <c r="K81" s="23" t="n"/>
    </row>
    <row r="82">
      <c r="A82" s="23" t="n"/>
      <c r="B82" s="23" t="n"/>
      <c r="D82" s="23" t="n"/>
      <c r="E82" s="23" t="n"/>
      <c r="F82" s="23" t="n"/>
      <c r="I82" s="23" t="n"/>
      <c r="J82" s="23" t="n"/>
      <c r="K82" s="23" t="n"/>
    </row>
    <row r="83">
      <c r="A83" s="23" t="n"/>
      <c r="B83" s="23" t="n"/>
      <c r="D83" s="23" t="n"/>
      <c r="E83" s="23" t="n"/>
      <c r="F83" s="23" t="n"/>
      <c r="I83" s="23" t="n"/>
      <c r="J83" s="23" t="n"/>
      <c r="K83" s="23" t="n"/>
    </row>
    <row r="84">
      <c r="A84" s="23" t="n"/>
      <c r="B84" s="23" t="n"/>
      <c r="D84" s="23" t="n"/>
      <c r="E84" s="23" t="n"/>
      <c r="F84" s="23" t="n"/>
      <c r="I84" s="23" t="n"/>
      <c r="J84" s="23" t="n"/>
      <c r="K84" s="23" t="n"/>
    </row>
    <row r="85">
      <c r="A85" s="23" t="n"/>
      <c r="B85" s="23" t="n"/>
      <c r="D85" s="23" t="n"/>
      <c r="E85" s="23" t="n"/>
      <c r="F85" s="23" t="n"/>
      <c r="I85" s="23" t="n"/>
      <c r="J85" s="23" t="n"/>
      <c r="K85" s="23" t="n"/>
    </row>
    <row r="86">
      <c r="A86" s="23" t="n"/>
      <c r="B86" s="23" t="n"/>
      <c r="D86" s="23" t="n"/>
      <c r="E86" s="23" t="n"/>
      <c r="F86" s="23" t="n"/>
      <c r="I86" s="23" t="n"/>
      <c r="J86" s="23" t="n"/>
      <c r="K86" s="23" t="n"/>
    </row>
    <row r="87">
      <c r="A87" s="23" t="n"/>
      <c r="B87" s="23" t="n"/>
      <c r="D87" s="23" t="n"/>
      <c r="E87" s="23" t="n"/>
      <c r="F87" s="23" t="n"/>
      <c r="I87" s="23" t="n"/>
      <c r="J87" s="23" t="n"/>
      <c r="K87" s="23" t="n"/>
    </row>
    <row r="88">
      <c r="A88" s="23" t="n"/>
      <c r="B88" s="23" t="n"/>
      <c r="D88" s="23" t="n"/>
      <c r="E88" s="23" t="n"/>
      <c r="F88" s="23" t="n"/>
      <c r="I88" s="23" t="n"/>
      <c r="J88" s="23" t="n"/>
      <c r="K88" s="23" t="n"/>
    </row>
    <row r="89">
      <c r="A89" s="23" t="n"/>
      <c r="B89" s="23" t="n"/>
      <c r="D89" s="23" t="n"/>
      <c r="E89" s="23" t="n"/>
      <c r="F89" s="23" t="n"/>
      <c r="I89" s="23" t="n"/>
      <c r="J89" s="23" t="n"/>
      <c r="K89" s="23" t="n"/>
    </row>
    <row r="90">
      <c r="A90" s="23" t="n"/>
      <c r="B90" s="23" t="n"/>
      <c r="D90" s="23" t="n"/>
      <c r="E90" s="23" t="n"/>
      <c r="F90" s="23" t="n"/>
      <c r="I90" s="23" t="n"/>
      <c r="J90" s="23" t="n"/>
      <c r="K90" s="23" t="n"/>
    </row>
    <row r="91">
      <c r="A91" s="23" t="n"/>
      <c r="B91" s="23" t="n"/>
      <c r="D91" s="23" t="n"/>
      <c r="E91" s="23" t="n"/>
      <c r="F91" s="23" t="n"/>
      <c r="I91" s="23" t="n"/>
      <c r="J91" s="23" t="n"/>
      <c r="K91" s="23" t="n"/>
    </row>
    <row r="92">
      <c r="A92" s="23" t="n"/>
      <c r="B92" s="23" t="n"/>
      <c r="D92" s="23" t="n"/>
      <c r="E92" s="23" t="n"/>
      <c r="F92" s="23" t="n"/>
      <c r="I92" s="23" t="n"/>
      <c r="J92" s="23" t="n"/>
      <c r="K92" s="23" t="n"/>
    </row>
    <row r="93">
      <c r="A93" s="23" t="n"/>
      <c r="B93" s="23" t="n"/>
      <c r="D93" s="23" t="n"/>
      <c r="E93" s="23" t="n"/>
      <c r="F93" s="23" t="n"/>
      <c r="I93" s="23" t="n"/>
      <c r="J93" s="23" t="n"/>
      <c r="K93" s="23" t="n"/>
    </row>
    <row r="94">
      <c r="A94" s="23" t="n"/>
      <c r="B94" s="23" t="n"/>
      <c r="D94" s="23" t="n"/>
      <c r="E94" s="23" t="n"/>
      <c r="F94" s="23" t="n"/>
      <c r="I94" s="23" t="n"/>
      <c r="J94" s="23" t="n"/>
      <c r="K94" s="23" t="n"/>
    </row>
    <row r="95">
      <c r="A95" s="23" t="n"/>
      <c r="B95" s="23" t="n"/>
      <c r="D95" s="23" t="n"/>
      <c r="E95" s="23" t="n"/>
      <c r="F95" s="23" t="n"/>
      <c r="I95" s="23" t="n"/>
      <c r="J95" s="23" t="n"/>
      <c r="K95" s="23" t="n"/>
    </row>
    <row r="96">
      <c r="A96" s="23" t="n"/>
      <c r="B96" s="23" t="n"/>
      <c r="D96" s="23" t="n"/>
      <c r="E96" s="23" t="n"/>
      <c r="F96" s="23" t="n"/>
      <c r="I96" s="23" t="n"/>
      <c r="J96" s="23" t="n"/>
      <c r="K96" s="23" t="n"/>
    </row>
    <row r="97">
      <c r="A97" s="23" t="n"/>
      <c r="B97" s="23" t="n"/>
      <c r="D97" s="23" t="n"/>
      <c r="E97" s="23" t="n"/>
      <c r="F97" s="23" t="n"/>
      <c r="I97" s="23" t="n"/>
      <c r="J97" s="23" t="n"/>
      <c r="K97" s="23" t="n"/>
    </row>
    <row r="98">
      <c r="A98" s="23" t="n"/>
      <c r="B98" s="23" t="n"/>
      <c r="D98" s="23" t="n"/>
      <c r="E98" s="23" t="n"/>
      <c r="F98" s="23" t="n"/>
      <c r="I98" s="23" t="n"/>
      <c r="J98" s="23" t="n"/>
      <c r="K98" s="23" t="n"/>
    </row>
    <row r="99">
      <c r="A99" s="23" t="n"/>
      <c r="B99" s="23" t="n"/>
      <c r="D99" s="23" t="n"/>
      <c r="E99" s="23" t="n"/>
      <c r="F99" s="23" t="n"/>
      <c r="I99" s="23" t="n"/>
      <c r="J99" s="23" t="n"/>
      <c r="K99" s="23" t="n"/>
    </row>
    <row r="100">
      <c r="A100" s="23" t="n"/>
      <c r="B100" s="23" t="n"/>
      <c r="D100" s="23" t="n"/>
      <c r="E100" s="23" t="n"/>
      <c r="F100" s="23" t="n"/>
      <c r="I100" s="23" t="n"/>
      <c r="J100" s="23" t="n"/>
      <c r="K100" s="23" t="n"/>
    </row>
    <row r="101">
      <c r="A101" s="23" t="n"/>
      <c r="B101" s="23" t="n"/>
      <c r="D101" s="23" t="n"/>
      <c r="E101" s="23" t="n"/>
      <c r="F101" s="23" t="n"/>
      <c r="I101" s="23" t="n"/>
      <c r="J101" s="23" t="n"/>
      <c r="K101" s="23" t="n"/>
    </row>
    <row r="102">
      <c r="A102" s="23" t="n"/>
      <c r="B102" s="23" t="n"/>
      <c r="D102" s="23" t="n"/>
      <c r="E102" s="23" t="n"/>
      <c r="F102" s="23" t="n"/>
      <c r="I102" s="23" t="n"/>
      <c r="J102" s="23" t="n"/>
      <c r="K102" s="23" t="n"/>
    </row>
    <row r="103">
      <c r="A103" s="23" t="n"/>
      <c r="B103" s="23" t="n"/>
      <c r="D103" s="23" t="n"/>
      <c r="E103" s="23" t="n"/>
      <c r="F103" s="23" t="n"/>
      <c r="I103" s="23" t="n"/>
      <c r="J103" s="23" t="n"/>
      <c r="K103" s="23" t="n"/>
    </row>
    <row r="104">
      <c r="A104" s="23" t="n"/>
      <c r="B104" s="23" t="n"/>
      <c r="D104" s="23" t="n"/>
      <c r="E104" s="23" t="n"/>
      <c r="F104" s="23" t="n"/>
      <c r="I104" s="23" t="n"/>
      <c r="J104" s="23" t="n"/>
      <c r="K104" s="23" t="n"/>
    </row>
    <row r="105">
      <c r="A105" s="23" t="n"/>
      <c r="B105" s="23" t="n"/>
      <c r="D105" s="23" t="n"/>
      <c r="E105" s="23" t="n"/>
      <c r="F105" s="23" t="n"/>
      <c r="I105" s="23" t="n"/>
      <c r="J105" s="23" t="n"/>
      <c r="K105" s="23" t="n"/>
    </row>
    <row r="106">
      <c r="A106" s="23" t="n"/>
      <c r="B106" s="23" t="n"/>
      <c r="D106" s="23" t="n"/>
      <c r="E106" s="23" t="n"/>
      <c r="F106" s="23" t="n"/>
      <c r="I106" s="23" t="n"/>
      <c r="J106" s="23" t="n"/>
      <c r="K106" s="23" t="n"/>
    </row>
    <row r="107">
      <c r="A107" s="23" t="n"/>
      <c r="B107" s="23" t="n"/>
      <c r="D107" s="23" t="n"/>
      <c r="E107" s="23" t="n"/>
      <c r="F107" s="23" t="n"/>
      <c r="I107" s="23" t="n"/>
      <c r="J107" s="23" t="n"/>
      <c r="K107" s="23" t="n"/>
    </row>
    <row r="108">
      <c r="A108" s="23" t="n"/>
      <c r="B108" s="23" t="n"/>
      <c r="D108" s="23" t="n"/>
      <c r="E108" s="23" t="n"/>
      <c r="F108" s="23" t="n"/>
      <c r="I108" s="23" t="n"/>
      <c r="J108" s="23" t="n"/>
      <c r="K108" s="23" t="n"/>
    </row>
    <row r="109">
      <c r="A109" s="23" t="n"/>
      <c r="B109" s="23" t="n"/>
      <c r="D109" s="23" t="n"/>
      <c r="E109" s="23" t="n"/>
      <c r="F109" s="23" t="n"/>
      <c r="I109" s="23" t="n"/>
      <c r="J109" s="23" t="n"/>
      <c r="K109" s="23" t="n"/>
    </row>
    <row r="110">
      <c r="A110" s="23" t="n"/>
      <c r="B110" s="23" t="n"/>
      <c r="D110" s="23" t="n"/>
      <c r="E110" s="23" t="n"/>
      <c r="F110" s="23" t="n"/>
      <c r="I110" s="23" t="n"/>
      <c r="J110" s="23" t="n"/>
      <c r="K110" s="23" t="n"/>
    </row>
    <row r="111">
      <c r="A111" s="23" t="n"/>
      <c r="B111" s="23" t="n"/>
      <c r="D111" s="23" t="n"/>
      <c r="E111" s="23" t="n"/>
      <c r="F111" s="23" t="n"/>
      <c r="I111" s="23" t="n"/>
      <c r="J111" s="23" t="n"/>
      <c r="K111" s="23" t="n"/>
    </row>
    <row r="112">
      <c r="A112" s="23" t="n"/>
      <c r="B112" s="23" t="n"/>
      <c r="D112" s="23" t="n"/>
      <c r="E112" s="23" t="n"/>
      <c r="F112" s="23" t="n"/>
      <c r="I112" s="23" t="n"/>
      <c r="J112" s="23" t="n"/>
      <c r="K112" s="23" t="n"/>
    </row>
    <row r="113">
      <c r="A113" s="23" t="n"/>
      <c r="B113" s="23" t="n"/>
      <c r="D113" s="23" t="n"/>
      <c r="E113" s="23" t="n"/>
      <c r="F113" s="23" t="n"/>
      <c r="I113" s="23" t="n"/>
      <c r="J113" s="23" t="n"/>
      <c r="K113" s="23" t="n"/>
    </row>
    <row r="114">
      <c r="A114" s="23" t="n"/>
      <c r="B114" s="23" t="n"/>
      <c r="D114" s="23" t="n"/>
      <c r="E114" s="23" t="n"/>
      <c r="F114" s="23" t="n"/>
      <c r="I114" s="23" t="n"/>
      <c r="J114" s="23" t="n"/>
      <c r="K114" s="23" t="n"/>
    </row>
    <row r="115">
      <c r="A115" s="23" t="n"/>
      <c r="B115" s="23" t="n"/>
      <c r="D115" s="23" t="n"/>
      <c r="E115" s="23" t="n"/>
      <c r="F115" s="23" t="n"/>
      <c r="I115" s="23" t="n"/>
      <c r="J115" s="23" t="n"/>
      <c r="K115" s="23" t="n"/>
    </row>
    <row r="116">
      <c r="A116" s="23" t="n"/>
      <c r="B116" s="23" t="n"/>
      <c r="D116" s="23" t="n"/>
      <c r="E116" s="23" t="n"/>
      <c r="F116" s="23" t="n"/>
      <c r="I116" s="23" t="n"/>
      <c r="J116" s="23" t="n"/>
      <c r="K116" s="23" t="n"/>
    </row>
    <row r="117">
      <c r="A117" s="23" t="n"/>
      <c r="B117" s="23" t="n"/>
      <c r="D117" s="23" t="n"/>
      <c r="E117" s="23" t="n"/>
      <c r="F117" s="23" t="n"/>
      <c r="I117" s="23" t="n"/>
      <c r="J117" s="23" t="n"/>
      <c r="K117" s="23" t="n"/>
    </row>
    <row r="118">
      <c r="A118" s="23" t="n"/>
      <c r="B118" s="23" t="n"/>
      <c r="D118" s="23" t="n"/>
      <c r="E118" s="23" t="n"/>
      <c r="F118" s="23" t="n"/>
      <c r="I118" s="23" t="n"/>
      <c r="J118" s="23" t="n"/>
      <c r="K118" s="23" t="n"/>
    </row>
    <row r="119">
      <c r="A119" s="23" t="n"/>
      <c r="B119" s="23" t="n"/>
      <c r="D119" s="23" t="n"/>
      <c r="E119" s="23" t="n"/>
      <c r="F119" s="23" t="n"/>
      <c r="I119" s="23" t="n"/>
      <c r="J119" s="23" t="n"/>
      <c r="K119" s="23" t="n"/>
    </row>
    <row r="120">
      <c r="A120" s="23" t="n"/>
      <c r="B120" s="23" t="n"/>
      <c r="D120" s="23" t="n"/>
      <c r="E120" s="23" t="n"/>
      <c r="F120" s="23" t="n"/>
      <c r="I120" s="23" t="n"/>
      <c r="J120" s="23" t="n"/>
      <c r="K120" s="23" t="n"/>
    </row>
    <row r="121">
      <c r="A121" s="23" t="n"/>
      <c r="B121" s="23" t="n"/>
      <c r="D121" s="23" t="n"/>
      <c r="E121" s="23" t="n"/>
      <c r="F121" s="23" t="n"/>
      <c r="I121" s="23" t="n"/>
      <c r="J121" s="23" t="n"/>
      <c r="K121" s="23" t="n"/>
    </row>
    <row r="122">
      <c r="A122" s="23" t="n"/>
      <c r="B122" s="23" t="n"/>
      <c r="D122" s="23" t="n"/>
      <c r="E122" s="23" t="n"/>
      <c r="F122" s="23" t="n"/>
      <c r="I122" s="23" t="n"/>
      <c r="J122" s="23" t="n"/>
      <c r="K122" s="23" t="n"/>
    </row>
    <row r="123">
      <c r="A123" s="23" t="n"/>
      <c r="B123" s="23" t="n"/>
      <c r="D123" s="23" t="n"/>
      <c r="E123" s="23" t="n"/>
      <c r="F123" s="23" t="n"/>
      <c r="I123" s="23" t="n"/>
      <c r="J123" s="23" t="n"/>
      <c r="K123" s="23" t="n"/>
    </row>
    <row r="124">
      <c r="A124" s="23" t="n"/>
      <c r="B124" s="23" t="n"/>
      <c r="D124" s="23" t="n"/>
      <c r="E124" s="23" t="n"/>
      <c r="F124" s="23" t="n"/>
      <c r="I124" s="23" t="n"/>
      <c r="J124" s="23" t="n"/>
      <c r="K124" s="23" t="n"/>
    </row>
    <row r="125">
      <c r="A125" s="23" t="n"/>
      <c r="B125" s="23" t="n"/>
      <c r="D125" s="23" t="n"/>
      <c r="E125" s="23" t="n"/>
      <c r="F125" s="23" t="n"/>
      <c r="I125" s="23" t="n"/>
      <c r="J125" s="23" t="n"/>
      <c r="K125" s="23" t="n"/>
    </row>
    <row r="126">
      <c r="A126" s="23" t="n"/>
      <c r="B126" s="23" t="n"/>
      <c r="D126" s="23" t="n"/>
      <c r="E126" s="23" t="n"/>
      <c r="F126" s="23" t="n"/>
      <c r="I126" s="23" t="n"/>
      <c r="J126" s="23" t="n"/>
      <c r="K126" s="23" t="n"/>
    </row>
    <row r="127">
      <c r="A127" s="23" t="n"/>
      <c r="B127" s="23" t="n"/>
      <c r="D127" s="23" t="n"/>
      <c r="E127" s="23" t="n"/>
      <c r="F127" s="23" t="n"/>
      <c r="I127" s="23" t="n"/>
      <c r="J127" s="23" t="n"/>
      <c r="K127" s="23" t="n"/>
    </row>
    <row r="128">
      <c r="A128" s="23" t="n"/>
      <c r="B128" s="23" t="n"/>
      <c r="D128" s="23" t="n"/>
      <c r="E128" s="23" t="n"/>
      <c r="F128" s="23" t="n"/>
      <c r="I128" s="23" t="n"/>
      <c r="J128" s="23" t="n"/>
      <c r="K128" s="23" t="n"/>
    </row>
    <row r="129">
      <c r="A129" s="23" t="n"/>
      <c r="B129" s="23" t="n"/>
      <c r="D129" s="23" t="n"/>
      <c r="E129" s="23" t="n"/>
      <c r="F129" s="23" t="n"/>
      <c r="I129" s="23" t="n"/>
      <c r="J129" s="23" t="n"/>
      <c r="K129" s="23" t="n"/>
    </row>
    <row r="130">
      <c r="A130" s="23" t="n"/>
      <c r="B130" s="23" t="n"/>
      <c r="D130" s="23" t="n"/>
      <c r="E130" s="23" t="n"/>
      <c r="F130" s="23" t="n"/>
      <c r="I130" s="23" t="n"/>
      <c r="J130" s="23" t="n"/>
      <c r="K130" s="23" t="n"/>
    </row>
    <row r="131">
      <c r="A131" s="23" t="n"/>
      <c r="B131" s="23" t="n"/>
      <c r="D131" s="23" t="n"/>
      <c r="E131" s="23" t="n"/>
      <c r="F131" s="23" t="n"/>
      <c r="I131" s="23" t="n"/>
      <c r="J131" s="23" t="n"/>
      <c r="K131" s="23" t="n"/>
    </row>
    <row r="132">
      <c r="A132" s="23" t="n"/>
      <c r="B132" s="23" t="n"/>
      <c r="D132" s="23" t="n"/>
      <c r="E132" s="23" t="n"/>
      <c r="F132" s="23" t="n"/>
      <c r="I132" s="23" t="n"/>
      <c r="J132" s="23" t="n"/>
      <c r="K132" s="23" t="n"/>
    </row>
    <row r="133">
      <c r="A133" s="23" t="n"/>
      <c r="B133" s="23" t="n"/>
      <c r="D133" s="23" t="n"/>
      <c r="E133" s="23" t="n"/>
      <c r="F133" s="23" t="n"/>
      <c r="I133" s="23" t="n"/>
      <c r="J133" s="23" t="n"/>
      <c r="K133" s="23" t="n"/>
    </row>
    <row r="134">
      <c r="A134" s="23" t="n"/>
      <c r="B134" s="23" t="n"/>
      <c r="D134" s="23" t="n"/>
      <c r="E134" s="23" t="n"/>
      <c r="F134" s="23" t="n"/>
      <c r="I134" s="23" t="n"/>
      <c r="J134" s="23" t="n"/>
      <c r="K134" s="23" t="n"/>
    </row>
    <row r="135">
      <c r="A135" s="23" t="n"/>
      <c r="B135" s="23" t="n"/>
      <c r="D135" s="23" t="n"/>
      <c r="E135" s="23" t="n"/>
      <c r="F135" s="23" t="n"/>
      <c r="I135" s="23" t="n"/>
      <c r="J135" s="23" t="n"/>
      <c r="K135" s="23" t="n"/>
    </row>
    <row r="136">
      <c r="A136" s="23" t="n"/>
      <c r="B136" s="23" t="n"/>
      <c r="D136" s="23" t="n"/>
      <c r="E136" s="23" t="n"/>
      <c r="F136" s="23" t="n"/>
      <c r="I136" s="23" t="n"/>
      <c r="J136" s="23" t="n"/>
      <c r="K136" s="23" t="n"/>
    </row>
    <row r="137">
      <c r="A137" s="23" t="n"/>
      <c r="B137" s="23" t="n"/>
      <c r="D137" s="23" t="n"/>
      <c r="E137" s="23" t="n"/>
      <c r="F137" s="23" t="n"/>
      <c r="I137" s="23" t="n"/>
      <c r="J137" s="23" t="n"/>
      <c r="K137" s="23" t="n"/>
    </row>
    <row r="138">
      <c r="A138" s="23" t="n"/>
      <c r="B138" s="23" t="n"/>
      <c r="D138" s="23" t="n"/>
      <c r="E138" s="23" t="n"/>
      <c r="F138" s="23" t="n"/>
      <c r="I138" s="23" t="n"/>
      <c r="J138" s="23" t="n"/>
      <c r="K138" s="23" t="n"/>
    </row>
    <row r="139">
      <c r="A139" s="23" t="n"/>
      <c r="B139" s="23" t="n"/>
      <c r="D139" s="23" t="n"/>
      <c r="E139" s="23" t="n"/>
      <c r="F139" s="23" t="n"/>
      <c r="I139" s="23" t="n"/>
      <c r="J139" s="23" t="n"/>
      <c r="K139" s="23" t="n"/>
    </row>
    <row r="140">
      <c r="A140" s="23" t="n"/>
      <c r="B140" s="23" t="n"/>
      <c r="D140" s="23" t="n"/>
      <c r="E140" s="23" t="n"/>
      <c r="F140" s="23" t="n"/>
      <c r="I140" s="23" t="n"/>
      <c r="J140" s="23" t="n"/>
      <c r="K140" s="23" t="n"/>
    </row>
    <row r="141">
      <c r="A141" s="23" t="n"/>
      <c r="B141" s="23" t="n"/>
      <c r="D141" s="23" t="n"/>
      <c r="E141" s="23" t="n"/>
      <c r="F141" s="23" t="n"/>
      <c r="I141" s="23" t="n"/>
      <c r="J141" s="23" t="n"/>
      <c r="K141" s="23" t="n"/>
    </row>
    <row r="142">
      <c r="A142" s="23" t="n"/>
      <c r="B142" s="23" t="n"/>
      <c r="D142" s="23" t="n"/>
      <c r="E142" s="23" t="n"/>
      <c r="F142" s="23" t="n"/>
      <c r="I142" s="23" t="n"/>
      <c r="J142" s="23" t="n"/>
      <c r="K142" s="23" t="n"/>
    </row>
    <row r="143">
      <c r="A143" s="23" t="n"/>
      <c r="B143" s="23" t="n"/>
      <c r="D143" s="23" t="n"/>
      <c r="E143" s="23" t="n"/>
      <c r="F143" s="23" t="n"/>
      <c r="I143" s="23" t="n"/>
      <c r="J143" s="23" t="n"/>
      <c r="K143" s="23" t="n"/>
    </row>
    <row r="144">
      <c r="A144" s="23" t="n"/>
      <c r="B144" s="23" t="n"/>
      <c r="D144" s="23" t="n"/>
      <c r="E144" s="23" t="n"/>
      <c r="F144" s="23" t="n"/>
      <c r="I144" s="23" t="n"/>
      <c r="J144" s="23" t="n"/>
      <c r="K144" s="23" t="n"/>
    </row>
    <row r="145">
      <c r="A145" s="23" t="n"/>
      <c r="B145" s="23" t="n"/>
      <c r="D145" s="23" t="n"/>
      <c r="E145" s="23" t="n"/>
      <c r="F145" s="23" t="n"/>
      <c r="I145" s="23" t="n"/>
      <c r="J145" s="23" t="n"/>
      <c r="K145" s="23" t="n"/>
    </row>
    <row r="146">
      <c r="A146" s="23" t="n"/>
      <c r="B146" s="23" t="n"/>
      <c r="D146" s="23" t="n"/>
      <c r="E146" s="23" t="n"/>
      <c r="F146" s="23" t="n"/>
      <c r="I146" s="23" t="n"/>
      <c r="J146" s="23" t="n"/>
      <c r="K146" s="23" t="n"/>
    </row>
    <row r="147">
      <c r="A147" s="23" t="n"/>
      <c r="B147" s="23" t="n"/>
      <c r="D147" s="23" t="n"/>
      <c r="E147" s="23" t="n"/>
      <c r="F147" s="23" t="n"/>
      <c r="I147" s="23" t="n"/>
      <c r="J147" s="23" t="n"/>
      <c r="K147" s="23" t="n"/>
    </row>
    <row r="148">
      <c r="A148" s="23" t="n"/>
      <c r="B148" s="23" t="n"/>
      <c r="D148" s="23" t="n"/>
      <c r="E148" s="23" t="n"/>
      <c r="F148" s="23" t="n"/>
      <c r="I148" s="23" t="n"/>
      <c r="J148" s="23" t="n"/>
      <c r="K148" s="23" t="n"/>
    </row>
    <row r="149">
      <c r="A149" s="23" t="n"/>
      <c r="B149" s="23" t="n"/>
      <c r="D149" s="23" t="n"/>
      <c r="E149" s="23" t="n"/>
      <c r="F149" s="23" t="n"/>
      <c r="I149" s="23" t="n"/>
      <c r="J149" s="23" t="n"/>
      <c r="K149" s="23" t="n"/>
    </row>
    <row r="150">
      <c r="A150" s="23" t="n"/>
      <c r="B150" s="23" t="n"/>
      <c r="D150" s="23" t="n"/>
      <c r="E150" s="23" t="n"/>
      <c r="F150" s="23" t="n"/>
      <c r="I150" s="23" t="n"/>
      <c r="J150" s="23" t="n"/>
      <c r="K150" s="23" t="n"/>
    </row>
    <row r="151">
      <c r="A151" s="23" t="n"/>
      <c r="B151" s="23" t="n"/>
      <c r="D151" s="23" t="n"/>
      <c r="E151" s="23" t="n"/>
      <c r="F151" s="23" t="n"/>
      <c r="I151" s="23" t="n"/>
      <c r="J151" s="23" t="n"/>
      <c r="K151" s="23" t="n"/>
    </row>
    <row r="152">
      <c r="A152" s="23" t="n"/>
      <c r="B152" s="23" t="n"/>
      <c r="D152" s="23" t="n"/>
      <c r="E152" s="23" t="n"/>
      <c r="F152" s="23" t="n"/>
      <c r="I152" s="23" t="n"/>
      <c r="J152" s="23" t="n"/>
      <c r="K152" s="23" t="n"/>
    </row>
    <row r="153">
      <c r="A153" s="23" t="n"/>
      <c r="B153" s="23" t="n"/>
      <c r="D153" s="23" t="n"/>
      <c r="E153" s="23" t="n"/>
      <c r="F153" s="23" t="n"/>
      <c r="I153" s="23" t="n"/>
      <c r="J153" s="23" t="n"/>
      <c r="K153" s="23" t="n"/>
    </row>
    <row r="154">
      <c r="A154" s="23" t="n"/>
      <c r="B154" s="23" t="n"/>
      <c r="D154" s="23" t="n"/>
      <c r="E154" s="23" t="n"/>
      <c r="F154" s="23" t="n"/>
      <c r="I154" s="23" t="n"/>
      <c r="J154" s="23" t="n"/>
      <c r="K154" s="23" t="n"/>
    </row>
    <row r="155">
      <c r="A155" s="23" t="n"/>
      <c r="B155" s="23" t="n"/>
      <c r="D155" s="23" t="n"/>
      <c r="E155" s="23" t="n"/>
      <c r="F155" s="23" t="n"/>
      <c r="I155" s="23" t="n"/>
      <c r="J155" s="23" t="n"/>
      <c r="K155" s="23" t="n"/>
    </row>
    <row r="156">
      <c r="A156" s="23" t="n"/>
      <c r="B156" s="23" t="n"/>
      <c r="D156" s="23" t="n"/>
      <c r="E156" s="23" t="n"/>
      <c r="F156" s="23" t="n"/>
      <c r="I156" s="23" t="n"/>
      <c r="J156" s="23" t="n"/>
      <c r="K156" s="23" t="n"/>
    </row>
    <row r="157">
      <c r="A157" s="23" t="n"/>
      <c r="B157" s="23" t="n"/>
      <c r="D157" s="23" t="n"/>
      <c r="E157" s="23" t="n"/>
      <c r="F157" s="23" t="n"/>
      <c r="I157" s="23" t="n"/>
      <c r="J157" s="23" t="n"/>
      <c r="K157" s="23" t="n"/>
    </row>
    <row r="158">
      <c r="A158" s="23" t="n"/>
      <c r="B158" s="23" t="n"/>
      <c r="D158" s="23" t="n"/>
      <c r="E158" s="23" t="n"/>
      <c r="F158" s="23" t="n"/>
      <c r="I158" s="23" t="n"/>
      <c r="J158" s="23" t="n"/>
      <c r="K158" s="23" t="n"/>
    </row>
    <row r="159">
      <c r="A159" s="23" t="n"/>
      <c r="B159" s="23" t="n"/>
      <c r="D159" s="23" t="n"/>
      <c r="E159" s="23" t="n"/>
      <c r="F159" s="23" t="n"/>
      <c r="I159" s="23" t="n"/>
      <c r="J159" s="23" t="n"/>
      <c r="K159" s="23" t="n"/>
    </row>
    <row r="160">
      <c r="A160" s="23" t="n"/>
      <c r="B160" s="23" t="n"/>
      <c r="D160" s="23" t="n"/>
      <c r="E160" s="23" t="n"/>
      <c r="F160" s="23" t="n"/>
      <c r="I160" s="23" t="n"/>
      <c r="J160" s="23" t="n"/>
      <c r="K160" s="23" t="n"/>
    </row>
    <row r="161">
      <c r="A161" s="23" t="n"/>
      <c r="B161" s="23" t="n"/>
      <c r="D161" s="23" t="n"/>
      <c r="E161" s="23" t="n"/>
      <c r="F161" s="23" t="n"/>
      <c r="I161" s="23" t="n"/>
      <c r="J161" s="23" t="n"/>
      <c r="K161" s="23" t="n"/>
    </row>
    <row r="162">
      <c r="A162" s="23" t="n"/>
      <c r="B162" s="23" t="n"/>
      <c r="D162" s="23" t="n"/>
      <c r="E162" s="23" t="n"/>
      <c r="F162" s="23" t="n"/>
      <c r="I162" s="23" t="n"/>
      <c r="J162" s="23" t="n"/>
      <c r="K162" s="23" t="n"/>
    </row>
    <row r="163">
      <c r="A163" s="23" t="n"/>
      <c r="B163" s="23" t="n"/>
      <c r="D163" s="23" t="n"/>
      <c r="E163" s="23" t="n"/>
      <c r="F163" s="23" t="n"/>
      <c r="I163" s="23" t="n"/>
      <c r="J163" s="23" t="n"/>
      <c r="K163" s="23" t="n"/>
    </row>
    <row r="164">
      <c r="A164" s="23" t="n"/>
      <c r="B164" s="23" t="n"/>
      <c r="D164" s="23" t="n"/>
      <c r="E164" s="23" t="n"/>
      <c r="F164" s="23" t="n"/>
      <c r="I164" s="23" t="n"/>
      <c r="J164" s="23" t="n"/>
      <c r="K164" s="23" t="n"/>
    </row>
    <row r="165">
      <c r="A165" s="23" t="n"/>
      <c r="B165" s="23" t="n"/>
      <c r="D165" s="23" t="n"/>
      <c r="E165" s="23" t="n"/>
      <c r="F165" s="23" t="n"/>
      <c r="I165" s="23" t="n"/>
      <c r="J165" s="23" t="n"/>
      <c r="K165" s="23" t="n"/>
    </row>
    <row r="166">
      <c r="A166" s="23" t="n"/>
      <c r="B166" s="23" t="n"/>
      <c r="D166" s="23" t="n"/>
      <c r="E166" s="23" t="n"/>
      <c r="F166" s="23" t="n"/>
      <c r="I166" s="23" t="n"/>
      <c r="J166" s="23" t="n"/>
      <c r="K166" s="23" t="n"/>
    </row>
    <row r="167">
      <c r="A167" s="23" t="n"/>
      <c r="B167" s="23" t="n"/>
      <c r="D167" s="23" t="n"/>
      <c r="E167" s="23" t="n"/>
      <c r="F167" s="23" t="n"/>
      <c r="I167" s="23" t="n"/>
      <c r="J167" s="23" t="n"/>
      <c r="K167" s="23" t="n"/>
    </row>
    <row r="168">
      <c r="A168" s="23" t="n"/>
      <c r="B168" s="23" t="n"/>
      <c r="D168" s="23" t="n"/>
      <c r="E168" s="23" t="n"/>
      <c r="F168" s="23" t="n"/>
      <c r="I168" s="23" t="n"/>
      <c r="J168" s="23" t="n"/>
      <c r="K168" s="23" t="n"/>
    </row>
    <row r="169">
      <c r="A169" s="23" t="n"/>
      <c r="B169" s="23" t="n"/>
      <c r="D169" s="23" t="n"/>
      <c r="E169" s="23" t="n"/>
      <c r="F169" s="23" t="n"/>
      <c r="I169" s="23" t="n"/>
      <c r="J169" s="23" t="n"/>
      <c r="K169" s="23" t="n"/>
    </row>
    <row r="170">
      <c r="A170" s="23" t="n"/>
      <c r="B170" s="23" t="n"/>
      <c r="D170" s="23" t="n"/>
      <c r="E170" s="23" t="n"/>
      <c r="F170" s="23" t="n"/>
      <c r="I170" s="23" t="n"/>
      <c r="J170" s="23" t="n"/>
      <c r="K170" s="23" t="n"/>
    </row>
    <row r="171">
      <c r="A171" s="23" t="n"/>
      <c r="B171" s="23" t="n"/>
      <c r="D171" s="23" t="n"/>
      <c r="E171" s="23" t="n"/>
      <c r="F171" s="23" t="n"/>
      <c r="I171" s="23" t="n"/>
      <c r="J171" s="23" t="n"/>
      <c r="K171" s="23" t="n"/>
    </row>
    <row r="172">
      <c r="A172" s="23" t="n"/>
      <c r="B172" s="23" t="n"/>
      <c r="D172" s="23" t="n"/>
      <c r="E172" s="23" t="n"/>
      <c r="F172" s="23" t="n"/>
      <c r="I172" s="23" t="n"/>
      <c r="J172" s="23" t="n"/>
      <c r="K172" s="23" t="n"/>
    </row>
    <row r="173">
      <c r="A173" s="23" t="n"/>
      <c r="B173" s="23" t="n"/>
      <c r="D173" s="23" t="n"/>
      <c r="E173" s="23" t="n"/>
      <c r="F173" s="23" t="n"/>
      <c r="I173" s="23" t="n"/>
      <c r="J173" s="23" t="n"/>
      <c r="K173" s="23" t="n"/>
    </row>
    <row r="174">
      <c r="A174" s="23" t="n"/>
      <c r="B174" s="23" t="n"/>
      <c r="D174" s="23" t="n"/>
      <c r="E174" s="23" t="n"/>
      <c r="F174" s="23" t="n"/>
      <c r="I174" s="23" t="n"/>
      <c r="J174" s="23" t="n"/>
      <c r="K174" s="23" t="n"/>
    </row>
    <row r="175">
      <c r="A175" s="23" t="n"/>
      <c r="B175" s="23" t="n"/>
      <c r="D175" s="23" t="n"/>
      <c r="E175" s="23" t="n"/>
      <c r="F175" s="23" t="n"/>
      <c r="I175" s="23" t="n"/>
      <c r="J175" s="23" t="n"/>
      <c r="K175" s="23" t="n"/>
    </row>
    <row r="176">
      <c r="A176" s="23" t="n"/>
      <c r="B176" s="23" t="n"/>
      <c r="D176" s="23" t="n"/>
      <c r="E176" s="23" t="n"/>
      <c r="F176" s="23" t="n"/>
      <c r="I176" s="23" t="n"/>
      <c r="J176" s="23" t="n"/>
      <c r="K176" s="23" t="n"/>
    </row>
    <row r="177">
      <c r="A177" s="23" t="n"/>
      <c r="B177" s="23" t="n"/>
      <c r="D177" s="23" t="n"/>
      <c r="E177" s="23" t="n"/>
      <c r="F177" s="23" t="n"/>
      <c r="I177" s="23" t="n"/>
      <c r="J177" s="23" t="n"/>
      <c r="K177" s="23" t="n"/>
    </row>
    <row r="178">
      <c r="A178" s="23" t="n"/>
      <c r="B178" s="23" t="n"/>
      <c r="D178" s="23" t="n"/>
      <c r="E178" s="23" t="n"/>
      <c r="F178" s="23" t="n"/>
      <c r="I178" s="23" t="n"/>
      <c r="J178" s="23" t="n"/>
      <c r="K178" s="23" t="n"/>
    </row>
  </sheetData>
  <autoFilter ref="A2:L46"/>
  <conditionalFormatting sqref="E3:E178">
    <cfRule type="cellIs" priority="1" operator="equal" dxfId="2">
      <formula>"Sí"</formula>
    </cfRule>
    <cfRule type="cellIs" priority="2" operator="equal" dxfId="0">
      <formula>"No"</formula>
    </cfRule>
  </conditionalFormatting>
  <conditionalFormatting sqref="J3:J178">
    <cfRule type="cellIs" priority="3" operator="equal" dxfId="2">
      <formula>"Sí"</formula>
    </cfRule>
    <cfRule type="cellIs" priority="4" operator="equal" dxfId="1">
      <formula>"Parcial"</formula>
    </cfRule>
    <cfRule type="cellIs" priority="5" operator="equal" dxfId="0">
      <formula>"No"</formula>
    </cfRule>
  </conditionalFormatting>
  <conditionalFormatting sqref="K3:K178">
    <cfRule type="cellIs" priority="6" operator="greaterThanOrEqual" dxfId="2">
      <formula>7</formula>
    </cfRule>
    <cfRule type="cellIs" priority="7" operator="between" dxfId="1">
      <formula>3</formula>
      <formula>6</formula>
    </cfRule>
    <cfRule type="cellIs" priority="8" operator="between" dxfId="0">
      <formula>0</formula>
      <formula>2</formula>
    </cfRule>
  </conditionalFormatting>
  <dataValidations count="5">
    <dataValidation sqref="E3:E178" showDropDown="0" showInputMessage="0" showErrorMessage="0" allowBlank="1" errorTitle="Aparece" error="Elige un valor de la lista" promptTitle="Aparece" prompt="Selecciona una opción" type="list">
      <formula1>"Sí,No"</formula1>
    </dataValidation>
    <dataValidation sqref="I3:I178" showDropDown="0" showInputMessage="0" showErrorMessage="0" allowBlank="1" errorTitle="Precio" error="Elige un valor de la lista" promptTitle="Precio" prompt="Selecciona una opción" type="list">
      <formula1>"Sí,No,No lo menciona"</formula1>
    </dataValidation>
    <dataValidation sqref="J3:J178" showDropDown="0" showInputMessage="0" showErrorMessage="0" allowBlank="1" errorTitle="Descripción" error="Elige un valor de la lista" promptTitle="Descripción" prompt="Selecciona una opción" type="list">
      <formula1>"Sí,Parcial,No"</formula1>
    </dataValidation>
    <dataValidation sqref="F3:F178" showDropDown="0" showInputMessage="0" showErrorMessage="0" allowBlank="1" error="Posición entre 1 y 20" type="whole" operator="between">
      <formula1>1</formula1>
      <formula2>20</formula2>
    </dataValidation>
    <dataValidation sqref="K3:K178" showDropDown="0" showInputMessage="0" showErrorMessage="0" allowBlank="1" error="Puntuación entre 0 y 10" type="whole" operator="between">
      <formula1>0</formula1>
      <formula2>10</formula2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48" customWidth="1" min="2" max="2"/>
    <col width="12" customWidth="1" min="3" max="3"/>
    <col width="9" customWidth="1" min="4" max="4"/>
    <col width="9" customWidth="1" min="5" max="5"/>
    <col width="10" customWidth="1" min="6" max="6"/>
    <col width="26" customWidth="1" min="7" max="7"/>
    <col width="50" customWidth="1" min="8" max="8"/>
    <col width="60" customWidth="1" min="9" max="9"/>
    <col width="13" customWidth="1" min="10" max="10"/>
    <col width="14" customWidth="1" min="11" max="11"/>
    <col width="11" customWidth="1" min="12" max="12"/>
    <col width="16" customWidth="1" min="13" max="13"/>
    <col width="11" customWidth="1" min="14" max="14"/>
    <col width="10" customWidth="1" min="15" max="15"/>
    <col width="40" customWidth="1" min="16" max="16"/>
  </cols>
  <sheetData>
    <row r="1">
      <c r="A1" s="14" t="inlineStr">
        <is>
          <t>Paso 4.1 del plan. Quick win = posición 4-15 con ≥ 20 impresiones (3 meses). Título roto = CTR &lt; 2 % en posición 1-5. CTR, Δ posición, Tipo y longitudes se calculan solos. Long. título objetivo 50-60; meta 140-155.</t>
        </is>
      </c>
    </row>
    <row r="2">
      <c r="A2" s="15" t="inlineStr">
        <is>
          <t>Consulta</t>
        </is>
      </c>
      <c r="B2" s="15" t="inlineStr">
        <is>
          <t>Página</t>
        </is>
      </c>
      <c r="C2" s="15" t="inlineStr">
        <is>
          <t>Impresiones</t>
        </is>
      </c>
      <c r="D2" s="15" t="inlineStr">
        <is>
          <t>Clics</t>
        </is>
      </c>
      <c r="E2" s="15" t="inlineStr">
        <is>
          <t>CTR</t>
        </is>
      </c>
      <c r="F2" s="15" t="inlineStr">
        <is>
          <t>Posición</t>
        </is>
      </c>
      <c r="G2" s="15" t="inlineStr">
        <is>
          <t>Acción</t>
        </is>
      </c>
      <c r="H2" s="15" t="inlineStr">
        <is>
          <t>Título nuevo</t>
        </is>
      </c>
      <c r="I2" s="15" t="inlineStr">
        <is>
          <t>Meta nueva</t>
        </is>
      </c>
      <c r="J2" s="15" t="inlineStr">
        <is>
          <t>Fecha cambio</t>
        </is>
      </c>
      <c r="K2" s="15" t="inlineStr">
        <is>
          <t>Posición +30 días</t>
        </is>
      </c>
      <c r="L2" s="15" t="inlineStr">
        <is>
          <t>Δ posición</t>
        </is>
      </c>
      <c r="M2" s="15" t="inlineStr">
        <is>
          <t>Tipo</t>
        </is>
      </c>
      <c r="N2" s="15" t="inlineStr">
        <is>
          <t>Long. título</t>
        </is>
      </c>
      <c r="O2" s="15" t="inlineStr">
        <is>
          <t>Long. meta</t>
        </is>
      </c>
      <c r="P2" s="15" t="inlineStr">
        <is>
          <t>Notas</t>
        </is>
      </c>
    </row>
    <row r="3">
      <c r="A3" s="16" t="inlineStr">
        <is>
          <t>[consulta de GSC]</t>
        </is>
      </c>
      <c r="B3" s="16" t="inlineStr">
        <is>
          <t>https://www.shiftia.es/</t>
        </is>
      </c>
      <c r="C3" s="16" t="n"/>
      <c r="D3" s="16" t="n"/>
      <c r="E3" s="33">
        <f>IF(OR(C3="",C3=0),"",D3/C3)</f>
        <v/>
      </c>
      <c r="F3" s="16" t="n"/>
      <c r="G3" s="16" t="inlineStr">
        <is>
          <t>Pendiente</t>
        </is>
      </c>
      <c r="H3" s="16" t="inlineStr">
        <is>
          <t>Software de turnos con IA desde 29 €/mes | Shiftia</t>
        </is>
      </c>
      <c r="I3" s="16" t="inlineStr">
        <is>
          <t>Genera el cuadrante mensual en segundos respetando el convenio y reparte las noches con equidad. Desde 29 €/mes, sin permanencia. Demo sin registro.</t>
        </is>
      </c>
      <c r="J3" s="28" t="n"/>
      <c r="K3" s="16" t="n"/>
      <c r="L3" s="34">
        <f>IF(OR(F3="",K3=""),"",F3-K3)</f>
        <v/>
      </c>
      <c r="M3" s="22">
        <f>IF(OR(C3="",F3=""),"",IF(AND(F3&gt;=4,F3&lt;=15,C3&gt;=20),"Quick win",IF(AND(F3&lt;=5,E3&lt;0.02),"Título roto","Revisar")))</f>
        <v/>
      </c>
      <c r="N3" s="22">
        <f>IF(H3="","",LEN(H3))</f>
        <v/>
      </c>
      <c r="O3" s="22">
        <f>IF(I3="","",LEN(I3))</f>
        <v/>
      </c>
    </row>
    <row r="4">
      <c r="A4" s="16" t="inlineStr">
        <is>
          <t>[consulta de GSC]</t>
        </is>
      </c>
      <c r="B4" s="16" t="inlineStr">
        <is>
          <t>https://www.shiftia.es/recursos/descanso-minimo-entre-turnos</t>
        </is>
      </c>
      <c r="C4" s="16" t="n"/>
      <c r="D4" s="16" t="n"/>
      <c r="E4" s="33">
        <f>IF(OR(C4="",C4=0),"",D4/C4)</f>
        <v/>
      </c>
      <c r="F4" s="16" t="n"/>
      <c r="G4" s="16" t="inlineStr">
        <is>
          <t>Pendiente</t>
        </is>
      </c>
      <c r="H4" s="16" t="inlineStr">
        <is>
          <t>Descanso mínimo entre turnos 2026: ley y calculadora gratis</t>
        </is>
      </c>
      <c r="I4" s="16" t="inlineStr">
        <is>
          <t>Cuántas horas de descanso hay entre turnos según el Estatuto de los Trabajadores, el Estatuto Marco y tu convenio. Calculadora gratis y ejemplos reales.</t>
        </is>
      </c>
      <c r="J4" s="28" t="n"/>
      <c r="K4" s="16" t="n"/>
      <c r="L4" s="34">
        <f>IF(OR(F4="",K4=""),"",F4-K4)</f>
        <v/>
      </c>
      <c r="M4" s="22">
        <f>IF(OR(C4="",F4=""),"",IF(AND(F4&gt;=4,F4&lt;=15,C4&gt;=20),"Quick win",IF(AND(F4&lt;=5,E4&lt;0.02),"Título roto","Revisar")))</f>
        <v/>
      </c>
      <c r="N4" s="22">
        <f>IF(H4="","",LEN(H4))</f>
        <v/>
      </c>
      <c r="O4" s="22">
        <f>IF(I4="","",LEN(I4))</f>
        <v/>
      </c>
    </row>
    <row r="5">
      <c r="A5" s="16" t="inlineStr">
        <is>
          <t>[consulta de GSC]</t>
        </is>
      </c>
      <c r="B5" s="16" t="inlineStr">
        <is>
          <t>https://www.shiftia.es/recursos/excel-vs-software-turnos</t>
        </is>
      </c>
      <c r="C5" s="16" t="n"/>
      <c r="D5" s="16" t="n"/>
      <c r="E5" s="33">
        <f>IF(OR(C5="",C5=0),"",D5/C5)</f>
        <v/>
      </c>
      <c r="F5" s="16" t="n"/>
      <c r="G5" s="16" t="inlineStr">
        <is>
          <t>Pendiente</t>
        </is>
      </c>
      <c r="H5" s="16" t="inlineStr">
        <is>
          <t>Excel vs software de turnos: cuándo basta y cuándo no (2026)</t>
        </is>
      </c>
      <c r="I5" s="16" t="inlineStr">
        <is>
          <t>Cuándo te basta Excel para el cuadrante y cuándo no. Comparativa honesta, plantilla Excel gratis y software de turnos con IA desde 29 €/mes.</t>
        </is>
      </c>
      <c r="J5" s="28" t="n"/>
      <c r="K5" s="16" t="n"/>
      <c r="L5" s="34">
        <f>IF(OR(F5="",K5=""),"",F5-K5)</f>
        <v/>
      </c>
      <c r="M5" s="22">
        <f>IF(OR(C5="",F5=""),"",IF(AND(F5&gt;=4,F5&lt;=15,C5&gt;=20),"Quick win",IF(AND(F5&lt;=5,E5&lt;0.02),"Título roto","Revisar")))</f>
        <v/>
      </c>
      <c r="N5" s="22">
        <f>IF(H5="","",LEN(H5))</f>
        <v/>
      </c>
      <c r="O5" s="22">
        <f>IF(I5="","",LEN(I5))</f>
        <v/>
      </c>
    </row>
    <row r="6">
      <c r="E6" s="33">
        <f>IF(OR(C6="",C6=0),"",D6/C6)</f>
        <v/>
      </c>
      <c r="J6" s="29" t="n"/>
      <c r="L6" s="34">
        <f>IF(OR(F6="",K6=""),"",F6-K6)</f>
        <v/>
      </c>
      <c r="M6" s="22">
        <f>IF(OR(C6="",F6=""),"",IF(AND(F6&gt;=4,F6&lt;=15,C6&gt;=20),"Quick win",IF(AND(F6&lt;=5,E6&lt;0.02),"Título roto","Revisar")))</f>
        <v/>
      </c>
      <c r="N6" s="22">
        <f>IF(H6="","",LEN(H6))</f>
        <v/>
      </c>
      <c r="O6" s="22">
        <f>IF(I6="","",LEN(I6))</f>
        <v/>
      </c>
    </row>
    <row r="7">
      <c r="E7" s="33">
        <f>IF(OR(C7="",C7=0),"",D7/C7)</f>
        <v/>
      </c>
      <c r="J7" s="29" t="n"/>
      <c r="L7" s="34">
        <f>IF(OR(F7="",K7=""),"",F7-K7)</f>
        <v/>
      </c>
      <c r="M7" s="22">
        <f>IF(OR(C7="",F7=""),"",IF(AND(F7&gt;=4,F7&lt;=15,C7&gt;=20),"Quick win",IF(AND(F7&lt;=5,E7&lt;0.02),"Título roto","Revisar")))</f>
        <v/>
      </c>
      <c r="N7" s="22">
        <f>IF(H7="","",LEN(H7))</f>
        <v/>
      </c>
      <c r="O7" s="22">
        <f>IF(I7="","",LEN(I7))</f>
        <v/>
      </c>
    </row>
    <row r="8">
      <c r="E8" s="33">
        <f>IF(OR(C8="",C8=0),"",D8/C8)</f>
        <v/>
      </c>
      <c r="J8" s="29" t="n"/>
      <c r="L8" s="34">
        <f>IF(OR(F8="",K8=""),"",F8-K8)</f>
        <v/>
      </c>
      <c r="M8" s="22">
        <f>IF(OR(C8="",F8=""),"",IF(AND(F8&gt;=4,F8&lt;=15,C8&gt;=20),"Quick win",IF(AND(F8&lt;=5,E8&lt;0.02),"Título roto","Revisar")))</f>
        <v/>
      </c>
      <c r="N8" s="22">
        <f>IF(H8="","",LEN(H8))</f>
        <v/>
      </c>
      <c r="O8" s="22">
        <f>IF(I8="","",LEN(I8))</f>
        <v/>
      </c>
    </row>
    <row r="9">
      <c r="E9" s="33">
        <f>IF(OR(C9="",C9=0),"",D9/C9)</f>
        <v/>
      </c>
      <c r="J9" s="29" t="n"/>
      <c r="L9" s="34">
        <f>IF(OR(F9="",K9=""),"",F9-K9)</f>
        <v/>
      </c>
      <c r="M9" s="22">
        <f>IF(OR(C9="",F9=""),"",IF(AND(F9&gt;=4,F9&lt;=15,C9&gt;=20),"Quick win",IF(AND(F9&lt;=5,E9&lt;0.02),"Título roto","Revisar")))</f>
        <v/>
      </c>
      <c r="N9" s="22">
        <f>IF(H9="","",LEN(H9))</f>
        <v/>
      </c>
      <c r="O9" s="22">
        <f>IF(I9="","",LEN(I9))</f>
        <v/>
      </c>
    </row>
    <row r="10">
      <c r="E10" s="33">
        <f>IF(OR(C10="",C10=0),"",D10/C10)</f>
        <v/>
      </c>
      <c r="J10" s="29" t="n"/>
      <c r="L10" s="34">
        <f>IF(OR(F10="",K10=""),"",F10-K10)</f>
        <v/>
      </c>
      <c r="M10" s="22">
        <f>IF(OR(C10="",F10=""),"",IF(AND(F10&gt;=4,F10&lt;=15,C10&gt;=20),"Quick win",IF(AND(F10&lt;=5,E10&lt;0.02),"Título roto","Revisar")))</f>
        <v/>
      </c>
      <c r="N10" s="22">
        <f>IF(H10="","",LEN(H10))</f>
        <v/>
      </c>
      <c r="O10" s="22">
        <f>IF(I10="","",LEN(I10))</f>
        <v/>
      </c>
    </row>
    <row r="11">
      <c r="E11" s="33">
        <f>IF(OR(C11="",C11=0),"",D11/C11)</f>
        <v/>
      </c>
      <c r="J11" s="29" t="n"/>
      <c r="L11" s="34">
        <f>IF(OR(F11="",K11=""),"",F11-K11)</f>
        <v/>
      </c>
      <c r="M11" s="22">
        <f>IF(OR(C11="",F11=""),"",IF(AND(F11&gt;=4,F11&lt;=15,C11&gt;=20),"Quick win",IF(AND(F11&lt;=5,E11&lt;0.02),"Título roto","Revisar")))</f>
        <v/>
      </c>
      <c r="N11" s="22">
        <f>IF(H11="","",LEN(H11))</f>
        <v/>
      </c>
      <c r="O11" s="22">
        <f>IF(I11="","",LEN(I11))</f>
        <v/>
      </c>
    </row>
    <row r="12">
      <c r="E12" s="33">
        <f>IF(OR(C12="",C12=0),"",D12/C12)</f>
        <v/>
      </c>
      <c r="J12" s="29" t="n"/>
      <c r="L12" s="34">
        <f>IF(OR(F12="",K12=""),"",F12-K12)</f>
        <v/>
      </c>
      <c r="M12" s="22">
        <f>IF(OR(C12="",F12=""),"",IF(AND(F12&gt;=4,F12&lt;=15,C12&gt;=20),"Quick win",IF(AND(F12&lt;=5,E12&lt;0.02),"Título roto","Revisar")))</f>
        <v/>
      </c>
      <c r="N12" s="22">
        <f>IF(H12="","",LEN(H12))</f>
        <v/>
      </c>
      <c r="O12" s="22">
        <f>IF(I12="","",LEN(I12))</f>
        <v/>
      </c>
    </row>
    <row r="13">
      <c r="E13" s="33">
        <f>IF(OR(C13="",C13=0),"",D13/C13)</f>
        <v/>
      </c>
      <c r="J13" s="29" t="n"/>
      <c r="L13" s="34">
        <f>IF(OR(F13="",K13=""),"",F13-K13)</f>
        <v/>
      </c>
      <c r="M13" s="22">
        <f>IF(OR(C13="",F13=""),"",IF(AND(F13&gt;=4,F13&lt;=15,C13&gt;=20),"Quick win",IF(AND(F13&lt;=5,E13&lt;0.02),"Título roto","Revisar")))</f>
        <v/>
      </c>
      <c r="N13" s="22">
        <f>IF(H13="","",LEN(H13))</f>
        <v/>
      </c>
      <c r="O13" s="22">
        <f>IF(I13="","",LEN(I13))</f>
        <v/>
      </c>
    </row>
    <row r="14">
      <c r="E14" s="33">
        <f>IF(OR(C14="",C14=0),"",D14/C14)</f>
        <v/>
      </c>
      <c r="J14" s="29" t="n"/>
      <c r="L14" s="34">
        <f>IF(OR(F14="",K14=""),"",F14-K14)</f>
        <v/>
      </c>
      <c r="M14" s="22">
        <f>IF(OR(C14="",F14=""),"",IF(AND(F14&gt;=4,F14&lt;=15,C14&gt;=20),"Quick win",IF(AND(F14&lt;=5,E14&lt;0.02),"Título roto","Revisar")))</f>
        <v/>
      </c>
      <c r="N14" s="22">
        <f>IF(H14="","",LEN(H14))</f>
        <v/>
      </c>
      <c r="O14" s="22">
        <f>IF(I14="","",LEN(I14))</f>
        <v/>
      </c>
    </row>
    <row r="15">
      <c r="E15" s="33">
        <f>IF(OR(C15="",C15=0),"",D15/C15)</f>
        <v/>
      </c>
      <c r="J15" s="29" t="n"/>
      <c r="L15" s="34">
        <f>IF(OR(F15="",K15=""),"",F15-K15)</f>
        <v/>
      </c>
      <c r="M15" s="22">
        <f>IF(OR(C15="",F15=""),"",IF(AND(F15&gt;=4,F15&lt;=15,C15&gt;=20),"Quick win",IF(AND(F15&lt;=5,E15&lt;0.02),"Título roto","Revisar")))</f>
        <v/>
      </c>
      <c r="N15" s="22">
        <f>IF(H15="","",LEN(H15))</f>
        <v/>
      </c>
      <c r="O15" s="22">
        <f>IF(I15="","",LEN(I15))</f>
        <v/>
      </c>
    </row>
    <row r="16">
      <c r="E16" s="33">
        <f>IF(OR(C16="",C16=0),"",D16/C16)</f>
        <v/>
      </c>
      <c r="J16" s="29" t="n"/>
      <c r="L16" s="34">
        <f>IF(OR(F16="",K16=""),"",F16-K16)</f>
        <v/>
      </c>
      <c r="M16" s="22">
        <f>IF(OR(C16="",F16=""),"",IF(AND(F16&gt;=4,F16&lt;=15,C16&gt;=20),"Quick win",IF(AND(F16&lt;=5,E16&lt;0.02),"Título roto","Revisar")))</f>
        <v/>
      </c>
      <c r="N16" s="22">
        <f>IF(H16="","",LEN(H16))</f>
        <v/>
      </c>
      <c r="O16" s="22">
        <f>IF(I16="","",LEN(I16))</f>
        <v/>
      </c>
    </row>
    <row r="17">
      <c r="E17" s="33">
        <f>IF(OR(C17="",C17=0),"",D17/C17)</f>
        <v/>
      </c>
      <c r="J17" s="29" t="n"/>
      <c r="L17" s="34">
        <f>IF(OR(F17="",K17=""),"",F17-K17)</f>
        <v/>
      </c>
      <c r="M17" s="22">
        <f>IF(OR(C17="",F17=""),"",IF(AND(F17&gt;=4,F17&lt;=15,C17&gt;=20),"Quick win",IF(AND(F17&lt;=5,E17&lt;0.02),"Título roto","Revisar")))</f>
        <v/>
      </c>
      <c r="N17" s="22">
        <f>IF(H17="","",LEN(H17))</f>
        <v/>
      </c>
      <c r="O17" s="22">
        <f>IF(I17="","",LEN(I17))</f>
        <v/>
      </c>
    </row>
    <row r="18">
      <c r="E18" s="33">
        <f>IF(OR(C18="",C18=0),"",D18/C18)</f>
        <v/>
      </c>
      <c r="J18" s="29" t="n"/>
      <c r="L18" s="34">
        <f>IF(OR(F18="",K18=""),"",F18-K18)</f>
        <v/>
      </c>
      <c r="M18" s="22">
        <f>IF(OR(C18="",F18=""),"",IF(AND(F18&gt;=4,F18&lt;=15,C18&gt;=20),"Quick win",IF(AND(F18&lt;=5,E18&lt;0.02),"Título roto","Revisar")))</f>
        <v/>
      </c>
      <c r="N18" s="22">
        <f>IF(H18="","",LEN(H18))</f>
        <v/>
      </c>
      <c r="O18" s="22">
        <f>IF(I18="","",LEN(I18))</f>
        <v/>
      </c>
    </row>
    <row r="19">
      <c r="E19" s="33">
        <f>IF(OR(C19="",C19=0),"",D19/C19)</f>
        <v/>
      </c>
      <c r="J19" s="29" t="n"/>
      <c r="L19" s="34">
        <f>IF(OR(F19="",K19=""),"",F19-K19)</f>
        <v/>
      </c>
      <c r="M19" s="22">
        <f>IF(OR(C19="",F19=""),"",IF(AND(F19&gt;=4,F19&lt;=15,C19&gt;=20),"Quick win",IF(AND(F19&lt;=5,E19&lt;0.02),"Título roto","Revisar")))</f>
        <v/>
      </c>
      <c r="N19" s="22">
        <f>IF(H19="","",LEN(H19))</f>
        <v/>
      </c>
      <c r="O19" s="22">
        <f>IF(I19="","",LEN(I19))</f>
        <v/>
      </c>
    </row>
    <row r="20">
      <c r="E20" s="33">
        <f>IF(OR(C20="",C20=0),"",D20/C20)</f>
        <v/>
      </c>
      <c r="J20" s="29" t="n"/>
      <c r="L20" s="34">
        <f>IF(OR(F20="",K20=""),"",F20-K20)</f>
        <v/>
      </c>
      <c r="M20" s="22">
        <f>IF(OR(C20="",F20=""),"",IF(AND(F20&gt;=4,F20&lt;=15,C20&gt;=20),"Quick win",IF(AND(F20&lt;=5,E20&lt;0.02),"Título roto","Revisar")))</f>
        <v/>
      </c>
      <c r="N20" s="22">
        <f>IF(H20="","",LEN(H20))</f>
        <v/>
      </c>
      <c r="O20" s="22">
        <f>IF(I20="","",LEN(I20))</f>
        <v/>
      </c>
    </row>
    <row r="21">
      <c r="E21" s="33">
        <f>IF(OR(C21="",C21=0),"",D21/C21)</f>
        <v/>
      </c>
      <c r="J21" s="29" t="n"/>
      <c r="L21" s="34">
        <f>IF(OR(F21="",K21=""),"",F21-K21)</f>
        <v/>
      </c>
      <c r="M21" s="22">
        <f>IF(OR(C21="",F21=""),"",IF(AND(F21&gt;=4,F21&lt;=15,C21&gt;=20),"Quick win",IF(AND(F21&lt;=5,E21&lt;0.02),"Título roto","Revisar")))</f>
        <v/>
      </c>
      <c r="N21" s="22">
        <f>IF(H21="","",LEN(H21))</f>
        <v/>
      </c>
      <c r="O21" s="22">
        <f>IF(I21="","",LEN(I21))</f>
        <v/>
      </c>
    </row>
    <row r="22">
      <c r="E22" s="33">
        <f>IF(OR(C22="",C22=0),"",D22/C22)</f>
        <v/>
      </c>
      <c r="J22" s="29" t="n"/>
      <c r="L22" s="34">
        <f>IF(OR(F22="",K22=""),"",F22-K22)</f>
        <v/>
      </c>
      <c r="M22" s="22">
        <f>IF(OR(C22="",F22=""),"",IF(AND(F22&gt;=4,F22&lt;=15,C22&gt;=20),"Quick win",IF(AND(F22&lt;=5,E22&lt;0.02),"Título roto","Revisar")))</f>
        <v/>
      </c>
      <c r="N22" s="22">
        <f>IF(H22="","",LEN(H22))</f>
        <v/>
      </c>
      <c r="O22" s="22">
        <f>IF(I22="","",LEN(I22))</f>
        <v/>
      </c>
    </row>
    <row r="23">
      <c r="E23" s="33">
        <f>IF(OR(C23="",C23=0),"",D23/C23)</f>
        <v/>
      </c>
      <c r="J23" s="29" t="n"/>
      <c r="L23" s="34">
        <f>IF(OR(F23="",K23=""),"",F23-K23)</f>
        <v/>
      </c>
      <c r="M23" s="22">
        <f>IF(OR(C23="",F23=""),"",IF(AND(F23&gt;=4,F23&lt;=15,C23&gt;=20),"Quick win",IF(AND(F23&lt;=5,E23&lt;0.02),"Título roto","Revisar")))</f>
        <v/>
      </c>
      <c r="N23" s="22">
        <f>IF(H23="","",LEN(H23))</f>
        <v/>
      </c>
      <c r="O23" s="22">
        <f>IF(I23="","",LEN(I23))</f>
        <v/>
      </c>
    </row>
    <row r="24">
      <c r="E24" s="33">
        <f>IF(OR(C24="",C24=0),"",D24/C24)</f>
        <v/>
      </c>
      <c r="J24" s="29" t="n"/>
      <c r="L24" s="34">
        <f>IF(OR(F24="",K24=""),"",F24-K24)</f>
        <v/>
      </c>
      <c r="M24" s="22">
        <f>IF(OR(C24="",F24=""),"",IF(AND(F24&gt;=4,F24&lt;=15,C24&gt;=20),"Quick win",IF(AND(F24&lt;=5,E24&lt;0.02),"Título roto","Revisar")))</f>
        <v/>
      </c>
      <c r="N24" s="22">
        <f>IF(H24="","",LEN(H24))</f>
        <v/>
      </c>
      <c r="O24" s="22">
        <f>IF(I24="","",LEN(I24))</f>
        <v/>
      </c>
    </row>
    <row r="25">
      <c r="E25" s="33">
        <f>IF(OR(C25="",C25=0),"",D25/C25)</f>
        <v/>
      </c>
      <c r="J25" s="29" t="n"/>
      <c r="L25" s="34">
        <f>IF(OR(F25="",K25=""),"",F25-K25)</f>
        <v/>
      </c>
      <c r="M25" s="22">
        <f>IF(OR(C25="",F25=""),"",IF(AND(F25&gt;=4,F25&lt;=15,C25&gt;=20),"Quick win",IF(AND(F25&lt;=5,E25&lt;0.02),"Título roto","Revisar")))</f>
        <v/>
      </c>
      <c r="N25" s="22">
        <f>IF(H25="","",LEN(H25))</f>
        <v/>
      </c>
      <c r="O25" s="22">
        <f>IF(I25="","",LEN(I25))</f>
        <v/>
      </c>
    </row>
    <row r="26">
      <c r="E26" s="33">
        <f>IF(OR(C26="",C26=0),"",D26/C26)</f>
        <v/>
      </c>
      <c r="J26" s="29" t="n"/>
      <c r="L26" s="34">
        <f>IF(OR(F26="",K26=""),"",F26-K26)</f>
        <v/>
      </c>
      <c r="M26" s="22">
        <f>IF(OR(C26="",F26=""),"",IF(AND(F26&gt;=4,F26&lt;=15,C26&gt;=20),"Quick win",IF(AND(F26&lt;=5,E26&lt;0.02),"Título roto","Revisar")))</f>
        <v/>
      </c>
      <c r="N26" s="22">
        <f>IF(H26="","",LEN(H26))</f>
        <v/>
      </c>
      <c r="O26" s="22">
        <f>IF(I26="","",LEN(I26))</f>
        <v/>
      </c>
    </row>
    <row r="27">
      <c r="E27" s="33">
        <f>IF(OR(C27="",C27=0),"",D27/C27)</f>
        <v/>
      </c>
      <c r="J27" s="29" t="n"/>
      <c r="L27" s="34">
        <f>IF(OR(F27="",K27=""),"",F27-K27)</f>
        <v/>
      </c>
      <c r="M27" s="22">
        <f>IF(OR(C27="",F27=""),"",IF(AND(F27&gt;=4,F27&lt;=15,C27&gt;=20),"Quick win",IF(AND(F27&lt;=5,E27&lt;0.02),"Título roto","Revisar")))</f>
        <v/>
      </c>
      <c r="N27" s="22">
        <f>IF(H27="","",LEN(H27))</f>
        <v/>
      </c>
      <c r="O27" s="22">
        <f>IF(I27="","",LEN(I27))</f>
        <v/>
      </c>
    </row>
    <row r="28">
      <c r="E28" s="33">
        <f>IF(OR(C28="",C28=0),"",D28/C28)</f>
        <v/>
      </c>
      <c r="J28" s="29" t="n"/>
      <c r="L28" s="34">
        <f>IF(OR(F28="",K28=""),"",F28-K28)</f>
        <v/>
      </c>
      <c r="M28" s="22">
        <f>IF(OR(C28="",F28=""),"",IF(AND(F28&gt;=4,F28&lt;=15,C28&gt;=20),"Quick win",IF(AND(F28&lt;=5,E28&lt;0.02),"Título roto","Revisar")))</f>
        <v/>
      </c>
      <c r="N28" s="22">
        <f>IF(H28="","",LEN(H28))</f>
        <v/>
      </c>
      <c r="O28" s="22">
        <f>IF(I28="","",LEN(I28))</f>
        <v/>
      </c>
    </row>
    <row r="29">
      <c r="E29" s="33">
        <f>IF(OR(C29="",C29=0),"",D29/C29)</f>
        <v/>
      </c>
      <c r="J29" s="29" t="n"/>
      <c r="L29" s="34">
        <f>IF(OR(F29="",K29=""),"",F29-K29)</f>
        <v/>
      </c>
      <c r="M29" s="22">
        <f>IF(OR(C29="",F29=""),"",IF(AND(F29&gt;=4,F29&lt;=15,C29&gt;=20),"Quick win",IF(AND(F29&lt;=5,E29&lt;0.02),"Título roto","Revisar")))</f>
        <v/>
      </c>
      <c r="N29" s="22">
        <f>IF(H29="","",LEN(H29))</f>
        <v/>
      </c>
      <c r="O29" s="22">
        <f>IF(I29="","",LEN(I29))</f>
        <v/>
      </c>
    </row>
    <row r="30">
      <c r="E30" s="33">
        <f>IF(OR(C30="",C30=0),"",D30/C30)</f>
        <v/>
      </c>
      <c r="J30" s="29" t="n"/>
      <c r="L30" s="34">
        <f>IF(OR(F30="",K30=""),"",F30-K30)</f>
        <v/>
      </c>
      <c r="M30" s="22">
        <f>IF(OR(C30="",F30=""),"",IF(AND(F30&gt;=4,F30&lt;=15,C30&gt;=20),"Quick win",IF(AND(F30&lt;=5,E30&lt;0.02),"Título roto","Revisar")))</f>
        <v/>
      </c>
      <c r="N30" s="22">
        <f>IF(H30="","",LEN(H30))</f>
        <v/>
      </c>
      <c r="O30" s="22">
        <f>IF(I30="","",LEN(I30))</f>
        <v/>
      </c>
    </row>
    <row r="31">
      <c r="E31" s="33">
        <f>IF(OR(C31="",C31=0),"",D31/C31)</f>
        <v/>
      </c>
      <c r="J31" s="29" t="n"/>
      <c r="L31" s="34">
        <f>IF(OR(F31="",K31=""),"",F31-K31)</f>
        <v/>
      </c>
      <c r="M31" s="22">
        <f>IF(OR(C31="",F31=""),"",IF(AND(F31&gt;=4,F31&lt;=15,C31&gt;=20),"Quick win",IF(AND(F31&lt;=5,E31&lt;0.02),"Título roto","Revisar")))</f>
        <v/>
      </c>
      <c r="N31" s="22">
        <f>IF(H31="","",LEN(H31))</f>
        <v/>
      </c>
      <c r="O31" s="22">
        <f>IF(I31="","",LEN(I31))</f>
        <v/>
      </c>
    </row>
    <row r="32">
      <c r="E32" s="33">
        <f>IF(OR(C32="",C32=0),"",D32/C32)</f>
        <v/>
      </c>
      <c r="J32" s="29" t="n"/>
      <c r="L32" s="34">
        <f>IF(OR(F32="",K32=""),"",F32-K32)</f>
        <v/>
      </c>
      <c r="M32" s="22">
        <f>IF(OR(C32="",F32=""),"",IF(AND(F32&gt;=4,F32&lt;=15,C32&gt;=20),"Quick win",IF(AND(F32&lt;=5,E32&lt;0.02),"Título roto","Revisar")))</f>
        <v/>
      </c>
      <c r="N32" s="22">
        <f>IF(H32="","",LEN(H32))</f>
        <v/>
      </c>
      <c r="O32" s="22">
        <f>IF(I32="","",LEN(I32))</f>
        <v/>
      </c>
    </row>
    <row r="33">
      <c r="E33" s="33">
        <f>IF(OR(C33="",C33=0),"",D33/C33)</f>
        <v/>
      </c>
      <c r="J33" s="29" t="n"/>
      <c r="L33" s="34">
        <f>IF(OR(F33="",K33=""),"",F33-K33)</f>
        <v/>
      </c>
      <c r="M33" s="22">
        <f>IF(OR(C33="",F33=""),"",IF(AND(F33&gt;=4,F33&lt;=15,C33&gt;=20),"Quick win",IF(AND(F33&lt;=5,E33&lt;0.02),"Título roto","Revisar")))</f>
        <v/>
      </c>
      <c r="N33" s="22">
        <f>IF(H33="","",LEN(H33))</f>
        <v/>
      </c>
      <c r="O33" s="22">
        <f>IF(I33="","",LEN(I33))</f>
        <v/>
      </c>
    </row>
    <row r="34">
      <c r="E34" s="33">
        <f>IF(OR(C34="",C34=0),"",D34/C34)</f>
        <v/>
      </c>
      <c r="J34" s="29" t="n"/>
      <c r="L34" s="34">
        <f>IF(OR(F34="",K34=""),"",F34-K34)</f>
        <v/>
      </c>
      <c r="M34" s="22">
        <f>IF(OR(C34="",F34=""),"",IF(AND(F34&gt;=4,F34&lt;=15,C34&gt;=20),"Quick win",IF(AND(F34&lt;=5,E34&lt;0.02),"Título roto","Revisar")))</f>
        <v/>
      </c>
      <c r="N34" s="22">
        <f>IF(H34="","",LEN(H34))</f>
        <v/>
      </c>
      <c r="O34" s="22">
        <f>IF(I34="","",LEN(I34))</f>
        <v/>
      </c>
    </row>
    <row r="35">
      <c r="E35" s="33">
        <f>IF(OR(C35="",C35=0),"",D35/C35)</f>
        <v/>
      </c>
      <c r="J35" s="29" t="n"/>
      <c r="L35" s="34">
        <f>IF(OR(F35="",K35=""),"",F35-K35)</f>
        <v/>
      </c>
      <c r="M35" s="22">
        <f>IF(OR(C35="",F35=""),"",IF(AND(F35&gt;=4,F35&lt;=15,C35&gt;=20),"Quick win",IF(AND(F35&lt;=5,E35&lt;0.02),"Título roto","Revisar")))</f>
        <v/>
      </c>
      <c r="N35" s="22">
        <f>IF(H35="","",LEN(H35))</f>
        <v/>
      </c>
      <c r="O35" s="22">
        <f>IF(I35="","",LEN(I35))</f>
        <v/>
      </c>
    </row>
    <row r="36">
      <c r="E36" s="33">
        <f>IF(OR(C36="",C36=0),"",D36/C36)</f>
        <v/>
      </c>
      <c r="J36" s="29" t="n"/>
      <c r="L36" s="34">
        <f>IF(OR(F36="",K36=""),"",F36-K36)</f>
        <v/>
      </c>
      <c r="M36" s="22">
        <f>IF(OR(C36="",F36=""),"",IF(AND(F36&gt;=4,F36&lt;=15,C36&gt;=20),"Quick win",IF(AND(F36&lt;=5,E36&lt;0.02),"Título roto","Revisar")))</f>
        <v/>
      </c>
      <c r="N36" s="22">
        <f>IF(H36="","",LEN(H36))</f>
        <v/>
      </c>
      <c r="O36" s="22">
        <f>IF(I36="","",LEN(I36))</f>
        <v/>
      </c>
    </row>
    <row r="37">
      <c r="E37" s="33">
        <f>IF(OR(C37="",C37=0),"",D37/C37)</f>
        <v/>
      </c>
      <c r="J37" s="29" t="n"/>
      <c r="L37" s="34">
        <f>IF(OR(F37="",K37=""),"",F37-K37)</f>
        <v/>
      </c>
      <c r="M37" s="22">
        <f>IF(OR(C37="",F37=""),"",IF(AND(F37&gt;=4,F37&lt;=15,C37&gt;=20),"Quick win",IF(AND(F37&lt;=5,E37&lt;0.02),"Título roto","Revisar")))</f>
        <v/>
      </c>
      <c r="N37" s="22">
        <f>IF(H37="","",LEN(H37))</f>
        <v/>
      </c>
      <c r="O37" s="22">
        <f>IF(I37="","",LEN(I37))</f>
        <v/>
      </c>
    </row>
    <row r="38">
      <c r="E38" s="33">
        <f>IF(OR(C38="",C38=0),"",D38/C38)</f>
        <v/>
      </c>
      <c r="J38" s="29" t="n"/>
      <c r="L38" s="34">
        <f>IF(OR(F38="",K38=""),"",F38-K38)</f>
        <v/>
      </c>
      <c r="M38" s="22">
        <f>IF(OR(C38="",F38=""),"",IF(AND(F38&gt;=4,F38&lt;=15,C38&gt;=20),"Quick win",IF(AND(F38&lt;=5,E38&lt;0.02),"Título roto","Revisar")))</f>
        <v/>
      </c>
      <c r="N38" s="22">
        <f>IF(H38="","",LEN(H38))</f>
        <v/>
      </c>
      <c r="O38" s="22">
        <f>IF(I38="","",LEN(I38))</f>
        <v/>
      </c>
    </row>
    <row r="39">
      <c r="E39" s="33">
        <f>IF(OR(C39="",C39=0),"",D39/C39)</f>
        <v/>
      </c>
      <c r="J39" s="29" t="n"/>
      <c r="L39" s="34">
        <f>IF(OR(F39="",K39=""),"",F39-K39)</f>
        <v/>
      </c>
      <c r="M39" s="22">
        <f>IF(OR(C39="",F39=""),"",IF(AND(F39&gt;=4,F39&lt;=15,C39&gt;=20),"Quick win",IF(AND(F39&lt;=5,E39&lt;0.02),"Título roto","Revisar")))</f>
        <v/>
      </c>
      <c r="N39" s="22">
        <f>IF(H39="","",LEN(H39))</f>
        <v/>
      </c>
      <c r="O39" s="22">
        <f>IF(I39="","",LEN(I39))</f>
        <v/>
      </c>
    </row>
    <row r="40">
      <c r="E40" s="33">
        <f>IF(OR(C40="",C40=0),"",D40/C40)</f>
        <v/>
      </c>
      <c r="J40" s="29" t="n"/>
      <c r="L40" s="34">
        <f>IF(OR(F40="",K40=""),"",F40-K40)</f>
        <v/>
      </c>
      <c r="M40" s="22">
        <f>IF(OR(C40="",F40=""),"",IF(AND(F40&gt;=4,F40&lt;=15,C40&gt;=20),"Quick win",IF(AND(F40&lt;=5,E40&lt;0.02),"Título roto","Revisar")))</f>
        <v/>
      </c>
      <c r="N40" s="22">
        <f>IF(H40="","",LEN(H40))</f>
        <v/>
      </c>
      <c r="O40" s="22">
        <f>IF(I40="","",LEN(I40))</f>
        <v/>
      </c>
    </row>
    <row r="41">
      <c r="E41" s="33">
        <f>IF(OR(C41="",C41=0),"",D41/C41)</f>
        <v/>
      </c>
      <c r="J41" s="29" t="n"/>
      <c r="L41" s="34">
        <f>IF(OR(F41="",K41=""),"",F41-K41)</f>
        <v/>
      </c>
      <c r="M41" s="22">
        <f>IF(OR(C41="",F41=""),"",IF(AND(F41&gt;=4,F41&lt;=15,C41&gt;=20),"Quick win",IF(AND(F41&lt;=5,E41&lt;0.02),"Título roto","Revisar")))</f>
        <v/>
      </c>
      <c r="N41" s="22">
        <f>IF(H41="","",LEN(H41))</f>
        <v/>
      </c>
      <c r="O41" s="22">
        <f>IF(I41="","",LEN(I41))</f>
        <v/>
      </c>
    </row>
    <row r="42">
      <c r="E42" s="33">
        <f>IF(OR(C42="",C42=0),"",D42/C42)</f>
        <v/>
      </c>
      <c r="J42" s="29" t="n"/>
      <c r="L42" s="34">
        <f>IF(OR(F42="",K42=""),"",F42-K42)</f>
        <v/>
      </c>
      <c r="M42" s="22">
        <f>IF(OR(C42="",F42=""),"",IF(AND(F42&gt;=4,F42&lt;=15,C42&gt;=20),"Quick win",IF(AND(F42&lt;=5,E42&lt;0.02),"Título roto","Revisar")))</f>
        <v/>
      </c>
      <c r="N42" s="22">
        <f>IF(H42="","",LEN(H42))</f>
        <v/>
      </c>
      <c r="O42" s="22">
        <f>IF(I42="","",LEN(I42))</f>
        <v/>
      </c>
    </row>
    <row r="43">
      <c r="E43" s="33">
        <f>IF(OR(C43="",C43=0),"",D43/C43)</f>
        <v/>
      </c>
      <c r="J43" s="29" t="n"/>
      <c r="L43" s="34">
        <f>IF(OR(F43="",K43=""),"",F43-K43)</f>
        <v/>
      </c>
      <c r="M43" s="22">
        <f>IF(OR(C43="",F43=""),"",IF(AND(F43&gt;=4,F43&lt;=15,C43&gt;=20),"Quick win",IF(AND(F43&lt;=5,E43&lt;0.02),"Título roto","Revisar")))</f>
        <v/>
      </c>
      <c r="N43" s="22">
        <f>IF(H43="","",LEN(H43))</f>
        <v/>
      </c>
      <c r="O43" s="22">
        <f>IF(I43="","",LEN(I43))</f>
        <v/>
      </c>
    </row>
    <row r="44">
      <c r="E44" s="33">
        <f>IF(OR(C44="",C44=0),"",D44/C44)</f>
        <v/>
      </c>
      <c r="J44" s="29" t="n"/>
      <c r="L44" s="34">
        <f>IF(OR(F44="",K44=""),"",F44-K44)</f>
        <v/>
      </c>
      <c r="M44" s="22">
        <f>IF(OR(C44="",F44=""),"",IF(AND(F44&gt;=4,F44&lt;=15,C44&gt;=20),"Quick win",IF(AND(F44&lt;=5,E44&lt;0.02),"Título roto","Revisar")))</f>
        <v/>
      </c>
      <c r="N44" s="22">
        <f>IF(H44="","",LEN(H44))</f>
        <v/>
      </c>
      <c r="O44" s="22">
        <f>IF(I44="","",LEN(I44))</f>
        <v/>
      </c>
    </row>
    <row r="45">
      <c r="E45" s="33">
        <f>IF(OR(C45="",C45=0),"",D45/C45)</f>
        <v/>
      </c>
      <c r="J45" s="29" t="n"/>
      <c r="L45" s="34">
        <f>IF(OR(F45="",K45=""),"",F45-K45)</f>
        <v/>
      </c>
      <c r="M45" s="22">
        <f>IF(OR(C45="",F45=""),"",IF(AND(F45&gt;=4,F45&lt;=15,C45&gt;=20),"Quick win",IF(AND(F45&lt;=5,E45&lt;0.02),"Título roto","Revisar")))</f>
        <v/>
      </c>
      <c r="N45" s="22">
        <f>IF(H45="","",LEN(H45))</f>
        <v/>
      </c>
      <c r="O45" s="22">
        <f>IF(I45="","",LEN(I45))</f>
        <v/>
      </c>
    </row>
  </sheetData>
  <autoFilter ref="A2:P5"/>
  <conditionalFormatting sqref="G3:G45">
    <cfRule type="cellIs" priority="1" operator="equal" dxfId="0">
      <formula>"Pendiente"</formula>
    </cfRule>
    <cfRule type="cellIs" priority="2" operator="equal" dxfId="1">
      <formula>"Reescribir título/meta"</formula>
    </cfRule>
    <cfRule type="cellIs" priority="3" operator="equal" dxfId="1">
      <formula>"Optimizar H1 + primer párrafo"</formula>
    </cfRule>
    <cfRule type="cellIs" priority="4" operator="equal" dxfId="1">
      <formula>"Enlazar internamente"</formula>
    </cfRule>
    <cfRule type="cellIs" priority="5" operator="equal" dxfId="2">
      <formula>"Hecho"</formula>
    </cfRule>
    <cfRule type="cellIs" priority="6" operator="equal" dxfId="3">
      <formula>"Descartar"</formula>
    </cfRule>
  </conditionalFormatting>
  <conditionalFormatting sqref="M3:M45">
    <cfRule type="cellIs" priority="7" operator="equal" dxfId="2">
      <formula>"Quick win"</formula>
    </cfRule>
    <cfRule type="cellIs" priority="8" operator="equal" dxfId="0">
      <formula>"Título roto"</formula>
    </cfRule>
    <cfRule type="cellIs" priority="9" operator="equal" dxfId="1">
      <formula>"Revisar"</formula>
    </cfRule>
  </conditionalFormatting>
  <conditionalFormatting sqref="L3:L45">
    <cfRule type="cellIs" priority="10" operator="greaterThan" dxfId="2">
      <formula>0</formula>
    </cfRule>
    <cfRule type="cellIs" priority="11" operator="lessThan" dxfId="0">
      <formula>0</formula>
    </cfRule>
  </conditionalFormatting>
  <conditionalFormatting sqref="N3:N45">
    <cfRule type="expression" priority="12" dxfId="1">
      <formula>AND(N3&lt;&gt;"",OR(N3&lt;50,N3&gt;60))</formula>
    </cfRule>
  </conditionalFormatting>
  <conditionalFormatting sqref="O3:O45">
    <cfRule type="expression" priority="13" dxfId="1">
      <formula>AND(O3&lt;&gt;"",OR(O3&lt;140,O3&gt;155))</formula>
    </cfRule>
  </conditionalFormatting>
  <dataValidations count="2">
    <dataValidation sqref="G3:G45" showDropDown="0" showInputMessage="0" showErrorMessage="0" allowBlank="1" errorTitle="Acción" error="Elige un valor de la lista" promptTitle="Acción" prompt="Selecciona una opción" type="list">
      <formula1>"Pendiente,Reescribir título/meta,Optimizar H1 + primer párrafo,Enlazar internamente,Hecho,Descartar"</formula1>
    </dataValidation>
    <dataValidation sqref="J3:J45" showDropDown="0" showInputMessage="0" showErrorMessage="0" allowBlank="1" errorTitle="Fecha" error="Introduce una fecha (dd/mm/aaaa)" type="date" operator="greaterThan">
      <formula1>DATE(2026,1,1)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2026-09-06T19:42:16Z</dcterms:created>
  <dcterms:modified xsi:type="dcterms:W3CDTF">2026-09-06T19:47:48Z</dcterms:modified>
</cp:coreProperties>
</file>