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Cuadra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Georgia"/>
      <color rgb="000E0F0F"/>
      <sz val="20"/>
    </font>
    <font>
      <name val="Calibri"/>
      <color rgb="00333333"/>
      <sz val="11"/>
    </font>
    <font>
      <name val="Calibri"/>
      <b val="1"/>
      <color rgb="000A5950"/>
      <sz val="13"/>
    </font>
    <font>
      <name val="Calibri"/>
      <color rgb="008A8A85"/>
      <sz val="9"/>
    </font>
    <font>
      <name val="Georgia"/>
      <i val="1"/>
      <color rgb="000E0F0F"/>
      <sz val="16"/>
    </font>
    <font>
      <b val="1"/>
      <color rgb="000A5950"/>
      <sz val="10"/>
    </font>
    <font>
      <sz val="10"/>
    </font>
    <font>
      <color rgb="004A4A47"/>
      <sz val="9"/>
    </font>
    <font>
      <b val="1"/>
      <color rgb="00FAF9F6"/>
      <sz val="10"/>
    </font>
    <font>
      <b val="1"/>
      <color rgb="00FAF9F6"/>
      <sz val="9"/>
    </font>
    <font>
      <color rgb="008A8A85"/>
      <sz val="8"/>
    </font>
    <font>
      <b val="1"/>
      <color rgb="000A5950"/>
      <sz val="8"/>
    </font>
    <font>
      <b val="1"/>
      <color rgb="008A6220"/>
      <sz val="8"/>
    </font>
    <font>
      <b val="1"/>
      <color rgb="008A8A85"/>
      <sz val="8"/>
    </font>
    <font>
      <sz val="9"/>
    </font>
    <font>
      <b val="1"/>
      <color rgb="000E0F0F"/>
      <sz val="9"/>
    </font>
    <font>
      <b val="1"/>
      <sz val="9"/>
    </font>
    <font>
      <i val="1"/>
      <color rgb="008A8A85"/>
      <sz val="9"/>
    </font>
  </fonts>
  <fills count="4">
    <fill>
      <patternFill/>
    </fill>
    <fill>
      <patternFill patternType="gray125"/>
    </fill>
    <fill>
      <patternFill patternType="solid">
        <fgColor rgb="00E9F5F2"/>
      </patternFill>
    </fill>
    <fill>
      <patternFill patternType="solid">
        <fgColor rgb="000E0F0F"/>
      </patternFill>
    </fill>
  </fills>
  <borders count="2">
    <border>
      <left/>
      <right/>
      <top/>
      <bottom/>
      <diagonal/>
    </border>
    <border>
      <left style="thin">
        <color rgb="00E5E2DA"/>
      </left>
      <right style="thin">
        <color rgb="00E5E2DA"/>
      </right>
      <top style="thin">
        <color rgb="00E5E2DA"/>
      </top>
      <bottom style="thin">
        <color rgb="00E5E2D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0" fontId="8" fillId="0" borderId="0" applyAlignment="1" pivotButton="0" quotePrefix="0" xfId="0">
      <alignment vertical="center"/>
    </xf>
    <xf numFmtId="0" fontId="9" fillId="3" borderId="0" pivotButton="0" quotePrefix="0" xfId="0"/>
    <xf numFmtId="0" fontId="0" fillId="3" borderId="0" pivotButton="0" quotePrefix="0" xfId="0"/>
    <xf numFmtId="0" fontId="10" fillId="3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7" fillId="0" borderId="1" pivotButton="0" quotePrefix="0" xfId="0"/>
    <xf numFmtId="0" fontId="0" fillId="0" borderId="1" pivotButton="0" quotePrefix="0" xfId="0"/>
    <xf numFmtId="0" fontId="7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15" fillId="0" borderId="1" applyAlignment="1" pivotButton="0" quotePrefix="0" xfId="0">
      <alignment horizontal="center"/>
    </xf>
    <xf numFmtId="0" fontId="16" fillId="0" borderId="0" pivotButton="0" quotePrefix="0" xfId="0"/>
    <xf numFmtId="0" fontId="17" fillId="2" borderId="1" applyAlignment="1" pivotButton="0" quotePrefix="0" xfId="0">
      <alignment horizontal="center"/>
    </xf>
    <xf numFmtId="0" fontId="11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4E1F5"/>
        </patternFill>
      </fill>
    </dxf>
    <dxf>
      <fill>
        <patternFill patternType="solid">
          <fgColor rgb="00EFEDE6"/>
        </patternFill>
      </fill>
    </dxf>
    <dxf>
      <fill>
        <patternFill patternType="solid">
          <fgColor rgb="00F3F1EA"/>
        </patternFill>
      </fill>
    </dxf>
    <dxf>
      <font>
        <b val="1"/>
        <color rgb="00A31C22"/>
      </font>
      <fill>
        <patternFill patternType="solid">
          <fgColor rgb="00F9E3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Plantilla de cuadrante de turnos · Shiftia</t>
        </is>
      </c>
    </row>
    <row r="3" ht="30" customHeight="1">
      <c r="B3" s="2" t="inlineStr">
        <is>
          <t>Cuadrante mensual con recuentos automáticos de noches, fines de semana y libranzas por persona, y chequeo de cobertura por día.</t>
        </is>
      </c>
    </row>
    <row r="4">
      <c r="B4" s="2" t="inlineStr"/>
    </row>
    <row r="5">
      <c r="B5" s="3" t="inlineStr">
        <is>
          <t>Cómo usarla</t>
        </is>
      </c>
    </row>
    <row r="6" ht="30" customHeight="1">
      <c r="B6" s="2" t="inlineStr">
        <is>
          <t>1 · En la hoja "Cuadrante", pon el año en B2 y el mes (1-12) en B3: las fechas y los findes se pintan solos.</t>
        </is>
      </c>
    </row>
    <row r="7" ht="30" customHeight="1">
      <c r="B7" s="2" t="inlineStr">
        <is>
          <t>2 · Escribe los nombres de tu equipo en la columna A (hay 14 filas; inserta más si lo necesitas copiando una fila entera).</t>
        </is>
      </c>
    </row>
    <row r="8" ht="30" customHeight="1">
      <c r="B8" s="2" t="inlineStr">
        <is>
          <t>3 · Rellena cada día con un código: M (mañana), T (tarde), N (noche), L (libre), V (vacaciones), B (baja).</t>
        </is>
      </c>
    </row>
    <row r="9" ht="30" customHeight="1">
      <c r="B9" s="2" t="inlineStr">
        <is>
          <t>4 · En la fila "Mínimo por turno" indica cuánta gente necesitas de M, T y N: la fila de cobertura se pone roja si un día no llegas.</t>
        </is>
      </c>
    </row>
    <row r="10">
      <c r="B10" s="2" t="inlineStr"/>
    </row>
    <row r="11">
      <c r="B11" s="3" t="inlineStr">
        <is>
          <t>Lo que la plantilla NO puede vigilar</t>
        </is>
      </c>
    </row>
    <row r="12" ht="30" customHeight="1">
      <c r="B12" s="2" t="inlineStr">
        <is>
          <t>Las 12 h de descanso entre turnos (art. 34.3 ET), el descanso semanal de 36 h (art. 37.1 ET), la equidad real del reparto o las reglas de tu convenio: eso Excel no lo ve, y es donde suelen caer las sanciones y las quejas.</t>
        </is>
      </c>
    </row>
    <row r="13" ht="30" customHeight="1">
      <c r="B13" s="2" t="inlineStr">
        <is>
          <t>Para eso tienes dos opciones gratuitas: la auditoría de tu cuadrante (súbelo y recibes un informe PDF con los incumplimientos señalados) en www.shiftia.es/recursos/auditoria-cuadrante — o dejar que Shiftia genere el cuadrante ya correcto: www.shiftia.es</t>
        </is>
      </c>
    </row>
    <row r="14">
      <c r="B14" s="2" t="inlineStr"/>
    </row>
    <row r="15">
      <c r="B15" s="4" t="inlineStr">
        <is>
          <t>Plantilla gratuita de Shiftia (www.shiftia.es) · July 2026 · Puedes compartirla libremente.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" customWidth="1" min="35" max="35"/>
    <col width="7" customWidth="1" min="36" max="36"/>
    <col width="7" customWidth="1" min="37" max="37"/>
  </cols>
  <sheetData>
    <row r="1">
      <c r="A1" s="5" t="inlineStr">
        <is>
          <t>Shiftia · Cuadrante mensual</t>
        </is>
      </c>
    </row>
    <row r="2">
      <c r="A2" s="6" t="inlineStr">
        <is>
          <t>Año</t>
        </is>
      </c>
      <c r="B2" s="7" t="n">
        <v>2026</v>
      </c>
      <c r="D2" s="8" t="inlineStr">
        <is>
          <t>Códigos: M mañana · T tarde · N noche · L libre · V vacaciones · B baja</t>
        </is>
      </c>
    </row>
    <row r="3">
      <c r="A3" s="6" t="inlineStr">
        <is>
          <t>Mes (1-12)</t>
        </is>
      </c>
      <c r="B3" s="7" t="n">
        <v>7</v>
      </c>
    </row>
    <row r="5">
      <c r="A5" s="9" t="inlineStr">
        <is>
          <t>Equipo</t>
        </is>
      </c>
      <c r="B5" s="10" t="inlineStr"/>
      <c r="C5" s="11">
        <f>IF(1&lt;=DAY(EOMONTH(DATE($B$2,$B$3,1),0)),1,"")</f>
        <v/>
      </c>
      <c r="D5" s="11">
        <f>IF(2&lt;=DAY(EOMONTH(DATE($B$2,$B$3,1),0)),2,"")</f>
        <v/>
      </c>
      <c r="E5" s="11">
        <f>IF(3&lt;=DAY(EOMONTH(DATE($B$2,$B$3,1),0)),3,"")</f>
        <v/>
      </c>
      <c r="F5" s="11">
        <f>IF(4&lt;=DAY(EOMONTH(DATE($B$2,$B$3,1),0)),4,"")</f>
        <v/>
      </c>
      <c r="G5" s="11">
        <f>IF(5&lt;=DAY(EOMONTH(DATE($B$2,$B$3,1),0)),5,"")</f>
        <v/>
      </c>
      <c r="H5" s="11">
        <f>IF(6&lt;=DAY(EOMONTH(DATE($B$2,$B$3,1),0)),6,"")</f>
        <v/>
      </c>
      <c r="I5" s="11">
        <f>IF(7&lt;=DAY(EOMONTH(DATE($B$2,$B$3,1),0)),7,"")</f>
        <v/>
      </c>
      <c r="J5" s="11">
        <f>IF(8&lt;=DAY(EOMONTH(DATE($B$2,$B$3,1),0)),8,"")</f>
        <v/>
      </c>
      <c r="K5" s="11">
        <f>IF(9&lt;=DAY(EOMONTH(DATE($B$2,$B$3,1),0)),9,"")</f>
        <v/>
      </c>
      <c r="L5" s="11">
        <f>IF(10&lt;=DAY(EOMONTH(DATE($B$2,$B$3,1),0)),10,"")</f>
        <v/>
      </c>
      <c r="M5" s="11">
        <f>IF(11&lt;=DAY(EOMONTH(DATE($B$2,$B$3,1),0)),11,"")</f>
        <v/>
      </c>
      <c r="N5" s="11">
        <f>IF(12&lt;=DAY(EOMONTH(DATE($B$2,$B$3,1),0)),12,"")</f>
        <v/>
      </c>
      <c r="O5" s="11">
        <f>IF(13&lt;=DAY(EOMONTH(DATE($B$2,$B$3,1),0)),13,"")</f>
        <v/>
      </c>
      <c r="P5" s="11">
        <f>IF(14&lt;=DAY(EOMONTH(DATE($B$2,$B$3,1),0)),14,"")</f>
        <v/>
      </c>
      <c r="Q5" s="11">
        <f>IF(15&lt;=DAY(EOMONTH(DATE($B$2,$B$3,1),0)),15,"")</f>
        <v/>
      </c>
      <c r="R5" s="11">
        <f>IF(16&lt;=DAY(EOMONTH(DATE($B$2,$B$3,1),0)),16,"")</f>
        <v/>
      </c>
      <c r="S5" s="11">
        <f>IF(17&lt;=DAY(EOMONTH(DATE($B$2,$B$3,1),0)),17,"")</f>
        <v/>
      </c>
      <c r="T5" s="11">
        <f>IF(18&lt;=DAY(EOMONTH(DATE($B$2,$B$3,1),0)),18,"")</f>
        <v/>
      </c>
      <c r="U5" s="11">
        <f>IF(19&lt;=DAY(EOMONTH(DATE($B$2,$B$3,1),0)),19,"")</f>
        <v/>
      </c>
      <c r="V5" s="11">
        <f>IF(20&lt;=DAY(EOMONTH(DATE($B$2,$B$3,1),0)),20,"")</f>
        <v/>
      </c>
      <c r="W5" s="11">
        <f>IF(21&lt;=DAY(EOMONTH(DATE($B$2,$B$3,1),0)),21,"")</f>
        <v/>
      </c>
      <c r="X5" s="11">
        <f>IF(22&lt;=DAY(EOMONTH(DATE($B$2,$B$3,1),0)),22,"")</f>
        <v/>
      </c>
      <c r="Y5" s="11">
        <f>IF(23&lt;=DAY(EOMONTH(DATE($B$2,$B$3,1),0)),23,"")</f>
        <v/>
      </c>
      <c r="Z5" s="11">
        <f>IF(24&lt;=DAY(EOMONTH(DATE($B$2,$B$3,1),0)),24,"")</f>
        <v/>
      </c>
      <c r="AA5" s="11">
        <f>IF(25&lt;=DAY(EOMONTH(DATE($B$2,$B$3,1),0)),25,"")</f>
        <v/>
      </c>
      <c r="AB5" s="11">
        <f>IF(26&lt;=DAY(EOMONTH(DATE($B$2,$B$3,1),0)),26,"")</f>
        <v/>
      </c>
      <c r="AC5" s="11">
        <f>IF(27&lt;=DAY(EOMONTH(DATE($B$2,$B$3,1),0)),27,"")</f>
        <v/>
      </c>
      <c r="AD5" s="11">
        <f>IF(28&lt;=DAY(EOMONTH(DATE($B$2,$B$3,1),0)),28,"")</f>
        <v/>
      </c>
      <c r="AE5" s="11">
        <f>IF(29&lt;=DAY(EOMONTH(DATE($B$2,$B$3,1),0)),29,"")</f>
        <v/>
      </c>
      <c r="AF5" s="11">
        <f>IF(30&lt;=DAY(EOMONTH(DATE($B$2,$B$3,1),0)),30,"")</f>
        <v/>
      </c>
      <c r="AG5" s="11">
        <f>IF(31&lt;=DAY(EOMONTH(DATE($B$2,$B$3,1),0)),31,"")</f>
        <v/>
      </c>
      <c r="AI5" s="12" t="inlineStr">
        <is>
          <t>Noches</t>
        </is>
      </c>
      <c r="AJ5" s="13" t="inlineStr">
        <is>
          <t>Findes</t>
        </is>
      </c>
      <c r="AK5" s="14" t="inlineStr">
        <is>
          <t>Libres</t>
        </is>
      </c>
    </row>
    <row r="6">
      <c r="A6" t="inlineStr"/>
      <c r="B6" t="inlineStr"/>
      <c r="C6" s="15">
        <f>IF(C5="","",MID("LMXJVSD",WEEKDAY(DATE($B$2,$B$3,C5),2),1))</f>
        <v/>
      </c>
      <c r="D6" s="15">
        <f>IF(D5="","",MID("LMXJVSD",WEEKDAY(DATE($B$2,$B$3,D5),2),1))</f>
        <v/>
      </c>
      <c r="E6" s="15">
        <f>IF(E5="","",MID("LMXJVSD",WEEKDAY(DATE($B$2,$B$3,E5),2),1))</f>
        <v/>
      </c>
      <c r="F6" s="15">
        <f>IF(F5="","",MID("LMXJVSD",WEEKDAY(DATE($B$2,$B$3,F5),2),1))</f>
        <v/>
      </c>
      <c r="G6" s="15">
        <f>IF(G5="","",MID("LMXJVSD",WEEKDAY(DATE($B$2,$B$3,G5),2),1))</f>
        <v/>
      </c>
      <c r="H6" s="15">
        <f>IF(H5="","",MID("LMXJVSD",WEEKDAY(DATE($B$2,$B$3,H5),2),1))</f>
        <v/>
      </c>
      <c r="I6" s="15">
        <f>IF(I5="","",MID("LMXJVSD",WEEKDAY(DATE($B$2,$B$3,I5),2),1))</f>
        <v/>
      </c>
      <c r="J6" s="15">
        <f>IF(J5="","",MID("LMXJVSD",WEEKDAY(DATE($B$2,$B$3,J5),2),1))</f>
        <v/>
      </c>
      <c r="K6" s="15">
        <f>IF(K5="","",MID("LMXJVSD",WEEKDAY(DATE($B$2,$B$3,K5),2),1))</f>
        <v/>
      </c>
      <c r="L6" s="15">
        <f>IF(L5="","",MID("LMXJVSD",WEEKDAY(DATE($B$2,$B$3,L5),2),1))</f>
        <v/>
      </c>
      <c r="M6" s="15">
        <f>IF(M5="","",MID("LMXJVSD",WEEKDAY(DATE($B$2,$B$3,M5),2),1))</f>
        <v/>
      </c>
      <c r="N6" s="15">
        <f>IF(N5="","",MID("LMXJVSD",WEEKDAY(DATE($B$2,$B$3,N5),2),1))</f>
        <v/>
      </c>
      <c r="O6" s="15">
        <f>IF(O5="","",MID("LMXJVSD",WEEKDAY(DATE($B$2,$B$3,O5),2),1))</f>
        <v/>
      </c>
      <c r="P6" s="15">
        <f>IF(P5="","",MID("LMXJVSD",WEEKDAY(DATE($B$2,$B$3,P5),2),1))</f>
        <v/>
      </c>
      <c r="Q6" s="15">
        <f>IF(Q5="","",MID("LMXJVSD",WEEKDAY(DATE($B$2,$B$3,Q5),2),1))</f>
        <v/>
      </c>
      <c r="R6" s="15">
        <f>IF(R5="","",MID("LMXJVSD",WEEKDAY(DATE($B$2,$B$3,R5),2),1))</f>
        <v/>
      </c>
      <c r="S6" s="15">
        <f>IF(S5="","",MID("LMXJVSD",WEEKDAY(DATE($B$2,$B$3,S5),2),1))</f>
        <v/>
      </c>
      <c r="T6" s="15">
        <f>IF(T5="","",MID("LMXJVSD",WEEKDAY(DATE($B$2,$B$3,T5),2),1))</f>
        <v/>
      </c>
      <c r="U6" s="15">
        <f>IF(U5="","",MID("LMXJVSD",WEEKDAY(DATE($B$2,$B$3,U5),2),1))</f>
        <v/>
      </c>
      <c r="V6" s="15">
        <f>IF(V5="","",MID("LMXJVSD",WEEKDAY(DATE($B$2,$B$3,V5),2),1))</f>
        <v/>
      </c>
      <c r="W6" s="15">
        <f>IF(W5="","",MID("LMXJVSD",WEEKDAY(DATE($B$2,$B$3,W5),2),1))</f>
        <v/>
      </c>
      <c r="X6" s="15">
        <f>IF(X5="","",MID("LMXJVSD",WEEKDAY(DATE($B$2,$B$3,X5),2),1))</f>
        <v/>
      </c>
      <c r="Y6" s="15">
        <f>IF(Y5="","",MID("LMXJVSD",WEEKDAY(DATE($B$2,$B$3,Y5),2),1))</f>
        <v/>
      </c>
      <c r="Z6" s="15">
        <f>IF(Z5="","",MID("LMXJVSD",WEEKDAY(DATE($B$2,$B$3,Z5),2),1))</f>
        <v/>
      </c>
      <c r="AA6" s="15">
        <f>IF(AA5="","",MID("LMXJVSD",WEEKDAY(DATE($B$2,$B$3,AA5),2),1))</f>
        <v/>
      </c>
      <c r="AB6" s="15">
        <f>IF(AB5="","",MID("LMXJVSD",WEEKDAY(DATE($B$2,$B$3,AB5),2),1))</f>
        <v/>
      </c>
      <c r="AC6" s="15">
        <f>IF(AC5="","",MID("LMXJVSD",WEEKDAY(DATE($B$2,$B$3,AC5),2),1))</f>
        <v/>
      </c>
      <c r="AD6" s="15">
        <f>IF(AD5="","",MID("LMXJVSD",WEEKDAY(DATE($B$2,$B$3,AD5),2),1))</f>
        <v/>
      </c>
      <c r="AE6" s="15">
        <f>IF(AE5="","",MID("LMXJVSD",WEEKDAY(DATE($B$2,$B$3,AE5),2),1))</f>
        <v/>
      </c>
      <c r="AF6" s="15">
        <f>IF(AF5="","",MID("LMXJVSD",WEEKDAY(DATE($B$2,$B$3,AF5),2),1))</f>
        <v/>
      </c>
      <c r="AG6" s="15">
        <f>IF(AG5="","",MID("LMXJVSD",WEEKDAY(DATE($B$2,$B$3,AG5),2),1))</f>
        <v/>
      </c>
    </row>
    <row r="7">
      <c r="A7" s="16" t="inlineStr">
        <is>
          <t>Persona 1</t>
        </is>
      </c>
      <c r="B7" s="17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8" t="inlineStr"/>
      <c r="AA7" s="18" t="inlineStr"/>
      <c r="AB7" s="18" t="inlineStr"/>
      <c r="AC7" s="18" t="inlineStr"/>
      <c r="AD7" s="18" t="inlineStr"/>
      <c r="AE7" s="18" t="inlineStr"/>
      <c r="AF7" s="18" t="inlineStr"/>
      <c r="AG7" s="18" t="inlineStr"/>
      <c r="AI7" s="19">
        <f>COUNTIF(C7:AG7,"N")</f>
        <v/>
      </c>
      <c r="AJ7" s="19">
        <f>SUMPRODUCT((C$5:AG$5&lt;&gt;"")*(WEEKDAY(DATE($B$2,$B$3,IF(C$5:AG$5="",1,C$5:AG$5)),2)&gt;5)*ISNUMBER(MATCH(C7:AG7,{"M";"T";"N"},0)))</f>
        <v/>
      </c>
      <c r="AK7" s="19">
        <f>COUNTIF(C7:AG7,"L")+COUNTIF(C7:AG7,"V")</f>
        <v/>
      </c>
    </row>
    <row r="8">
      <c r="A8" s="16" t="inlineStr">
        <is>
          <t>Persona 2</t>
        </is>
      </c>
      <c r="B8" s="17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8" t="inlineStr"/>
      <c r="AA8" s="18" t="inlineStr"/>
      <c r="AB8" s="18" t="inlineStr"/>
      <c r="AC8" s="18" t="inlineStr"/>
      <c r="AD8" s="18" t="inlineStr"/>
      <c r="AE8" s="18" t="inlineStr"/>
      <c r="AF8" s="18" t="inlineStr"/>
      <c r="AG8" s="18" t="inlineStr"/>
      <c r="AI8" s="19">
        <f>COUNTIF(C8:AG8,"N")</f>
        <v/>
      </c>
      <c r="AJ8" s="19">
        <f>SUMPRODUCT((C$5:AG$5&lt;&gt;"")*(WEEKDAY(DATE($B$2,$B$3,IF(C$5:AG$5="",1,C$5:AG$5)),2)&gt;5)*ISNUMBER(MATCH(C8:AG8,{"M";"T";"N"},0)))</f>
        <v/>
      </c>
      <c r="AK8" s="19">
        <f>COUNTIF(C8:AG8,"L")+COUNTIF(C8:AG8,"V")</f>
        <v/>
      </c>
    </row>
    <row r="9">
      <c r="A9" s="16" t="inlineStr">
        <is>
          <t>Persona 3</t>
        </is>
      </c>
      <c r="B9" s="17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  <c r="AB9" s="18" t="inlineStr"/>
      <c r="AC9" s="18" t="inlineStr"/>
      <c r="AD9" s="18" t="inlineStr"/>
      <c r="AE9" s="18" t="inlineStr"/>
      <c r="AF9" s="18" t="inlineStr"/>
      <c r="AG9" s="18" t="inlineStr"/>
      <c r="AI9" s="19">
        <f>COUNTIF(C9:AG9,"N")</f>
        <v/>
      </c>
      <c r="AJ9" s="19">
        <f>SUMPRODUCT((C$5:AG$5&lt;&gt;"")*(WEEKDAY(DATE($B$2,$B$3,IF(C$5:AG$5="",1,C$5:AG$5)),2)&gt;5)*ISNUMBER(MATCH(C9:AG9,{"M";"T";"N"},0)))</f>
        <v/>
      </c>
      <c r="AK9" s="19">
        <f>COUNTIF(C9:AG9,"L")+COUNTIF(C9:AG9,"V")</f>
        <v/>
      </c>
    </row>
    <row r="10">
      <c r="A10" s="16" t="inlineStr">
        <is>
          <t>Persona 4</t>
        </is>
      </c>
      <c r="B10" s="17" t="inlineStr"/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  <c r="AB10" s="18" t="inlineStr"/>
      <c r="AC10" s="18" t="inlineStr"/>
      <c r="AD10" s="18" t="inlineStr"/>
      <c r="AE10" s="18" t="inlineStr"/>
      <c r="AF10" s="18" t="inlineStr"/>
      <c r="AG10" s="18" t="inlineStr"/>
      <c r="AI10" s="19">
        <f>COUNTIF(C10:AG10,"N")</f>
        <v/>
      </c>
      <c r="AJ10" s="19">
        <f>SUMPRODUCT((C$5:AG$5&lt;&gt;"")*(WEEKDAY(DATE($B$2,$B$3,IF(C$5:AG$5="",1,C$5:AG$5)),2)&gt;5)*ISNUMBER(MATCH(C10:AG10,{"M";"T";"N"},0)))</f>
        <v/>
      </c>
      <c r="AK10" s="19">
        <f>COUNTIF(C10:AG10,"L")+COUNTIF(C10:AG10,"V")</f>
        <v/>
      </c>
    </row>
    <row r="11">
      <c r="A11" s="16" t="inlineStr">
        <is>
          <t>Persona 5</t>
        </is>
      </c>
      <c r="B11" s="17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  <c r="AB11" s="18" t="inlineStr"/>
      <c r="AC11" s="18" t="inlineStr"/>
      <c r="AD11" s="18" t="inlineStr"/>
      <c r="AE11" s="18" t="inlineStr"/>
      <c r="AF11" s="18" t="inlineStr"/>
      <c r="AG11" s="18" t="inlineStr"/>
      <c r="AI11" s="19">
        <f>COUNTIF(C11:AG11,"N")</f>
        <v/>
      </c>
      <c r="AJ11" s="19">
        <f>SUMPRODUCT((C$5:AG$5&lt;&gt;"")*(WEEKDAY(DATE($B$2,$B$3,IF(C$5:AG$5="",1,C$5:AG$5)),2)&gt;5)*ISNUMBER(MATCH(C11:AG11,{"M";"T";"N"},0)))</f>
        <v/>
      </c>
      <c r="AK11" s="19">
        <f>COUNTIF(C11:AG11,"L")+COUNTIF(C11:AG11,"V")</f>
        <v/>
      </c>
    </row>
    <row r="12">
      <c r="A12" s="16" t="inlineStr">
        <is>
          <t>Persona 6</t>
        </is>
      </c>
      <c r="B12" s="17" t="inlineStr"/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  <c r="AB12" s="18" t="inlineStr"/>
      <c r="AC12" s="18" t="inlineStr"/>
      <c r="AD12" s="18" t="inlineStr"/>
      <c r="AE12" s="18" t="inlineStr"/>
      <c r="AF12" s="18" t="inlineStr"/>
      <c r="AG12" s="18" t="inlineStr"/>
      <c r="AI12" s="19">
        <f>COUNTIF(C12:AG12,"N")</f>
        <v/>
      </c>
      <c r="AJ12" s="19">
        <f>SUMPRODUCT((C$5:AG$5&lt;&gt;"")*(WEEKDAY(DATE($B$2,$B$3,IF(C$5:AG$5="",1,C$5:AG$5)),2)&gt;5)*ISNUMBER(MATCH(C12:AG12,{"M";"T";"N"},0)))</f>
        <v/>
      </c>
      <c r="AK12" s="19">
        <f>COUNTIF(C12:AG12,"L")+COUNTIF(C12:AG12,"V")</f>
        <v/>
      </c>
    </row>
    <row r="13">
      <c r="A13" s="16" t="inlineStr">
        <is>
          <t>Persona 7</t>
        </is>
      </c>
      <c r="B13" s="17" t="inlineStr"/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  <c r="AB13" s="18" t="inlineStr"/>
      <c r="AC13" s="18" t="inlineStr"/>
      <c r="AD13" s="18" t="inlineStr"/>
      <c r="AE13" s="18" t="inlineStr"/>
      <c r="AF13" s="18" t="inlineStr"/>
      <c r="AG13" s="18" t="inlineStr"/>
      <c r="AI13" s="19">
        <f>COUNTIF(C13:AG13,"N")</f>
        <v/>
      </c>
      <c r="AJ13" s="19">
        <f>SUMPRODUCT((C$5:AG$5&lt;&gt;"")*(WEEKDAY(DATE($B$2,$B$3,IF(C$5:AG$5="",1,C$5:AG$5)),2)&gt;5)*ISNUMBER(MATCH(C13:AG13,{"M";"T";"N"},0)))</f>
        <v/>
      </c>
      <c r="AK13" s="19">
        <f>COUNTIF(C13:AG13,"L")+COUNTIF(C13:AG13,"V")</f>
        <v/>
      </c>
    </row>
    <row r="14">
      <c r="A14" s="16" t="inlineStr">
        <is>
          <t>Persona 8</t>
        </is>
      </c>
      <c r="B14" s="17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  <c r="AB14" s="18" t="inlineStr"/>
      <c r="AC14" s="18" t="inlineStr"/>
      <c r="AD14" s="18" t="inlineStr"/>
      <c r="AE14" s="18" t="inlineStr"/>
      <c r="AF14" s="18" t="inlineStr"/>
      <c r="AG14" s="18" t="inlineStr"/>
      <c r="AI14" s="19">
        <f>COUNTIF(C14:AG14,"N")</f>
        <v/>
      </c>
      <c r="AJ14" s="19">
        <f>SUMPRODUCT((C$5:AG$5&lt;&gt;"")*(WEEKDAY(DATE($B$2,$B$3,IF(C$5:AG$5="",1,C$5:AG$5)),2)&gt;5)*ISNUMBER(MATCH(C14:AG14,{"M";"T";"N"},0)))</f>
        <v/>
      </c>
      <c r="AK14" s="19">
        <f>COUNTIF(C14:AG14,"L")+COUNTIF(C14:AG14,"V")</f>
        <v/>
      </c>
    </row>
    <row r="15">
      <c r="A15" s="16" t="inlineStr">
        <is>
          <t>Persona 9</t>
        </is>
      </c>
      <c r="B15" s="17" t="inlineStr"/>
      <c r="C15" s="18" t="inlineStr"/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8" t="inlineStr"/>
      <c r="U15" s="18" t="inlineStr"/>
      <c r="V15" s="18" t="inlineStr"/>
      <c r="W15" s="18" t="inlineStr"/>
      <c r="X15" s="18" t="inlineStr"/>
      <c r="Y15" s="18" t="inlineStr"/>
      <c r="Z15" s="18" t="inlineStr"/>
      <c r="AA15" s="18" t="inlineStr"/>
      <c r="AB15" s="18" t="inlineStr"/>
      <c r="AC15" s="18" t="inlineStr"/>
      <c r="AD15" s="18" t="inlineStr"/>
      <c r="AE15" s="18" t="inlineStr"/>
      <c r="AF15" s="18" t="inlineStr"/>
      <c r="AG15" s="18" t="inlineStr"/>
      <c r="AI15" s="19">
        <f>COUNTIF(C15:AG15,"N")</f>
        <v/>
      </c>
      <c r="AJ15" s="19">
        <f>SUMPRODUCT((C$5:AG$5&lt;&gt;"")*(WEEKDAY(DATE($B$2,$B$3,IF(C$5:AG$5="",1,C$5:AG$5)),2)&gt;5)*ISNUMBER(MATCH(C15:AG15,{"M";"T";"N"},0)))</f>
        <v/>
      </c>
      <c r="AK15" s="19">
        <f>COUNTIF(C15:AG15,"L")+COUNTIF(C15:AG15,"V")</f>
        <v/>
      </c>
    </row>
    <row r="16">
      <c r="A16" s="16" t="inlineStr">
        <is>
          <t>Persona 10</t>
        </is>
      </c>
      <c r="B16" s="17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8" t="inlineStr"/>
      <c r="U16" s="18" t="inlineStr"/>
      <c r="V16" s="18" t="inlineStr"/>
      <c r="W16" s="18" t="inlineStr"/>
      <c r="X16" s="18" t="inlineStr"/>
      <c r="Y16" s="18" t="inlineStr"/>
      <c r="Z16" s="18" t="inlineStr"/>
      <c r="AA16" s="18" t="inlineStr"/>
      <c r="AB16" s="18" t="inlineStr"/>
      <c r="AC16" s="18" t="inlineStr"/>
      <c r="AD16" s="18" t="inlineStr"/>
      <c r="AE16" s="18" t="inlineStr"/>
      <c r="AF16" s="18" t="inlineStr"/>
      <c r="AG16" s="18" t="inlineStr"/>
      <c r="AI16" s="19">
        <f>COUNTIF(C16:AG16,"N")</f>
        <v/>
      </c>
      <c r="AJ16" s="19">
        <f>SUMPRODUCT((C$5:AG$5&lt;&gt;"")*(WEEKDAY(DATE($B$2,$B$3,IF(C$5:AG$5="",1,C$5:AG$5)),2)&gt;5)*ISNUMBER(MATCH(C16:AG16,{"M";"T";"N"},0)))</f>
        <v/>
      </c>
      <c r="AK16" s="19">
        <f>COUNTIF(C16:AG16,"L")+COUNTIF(C16:AG16,"V")</f>
        <v/>
      </c>
    </row>
    <row r="17">
      <c r="A17" s="16" t="inlineStr">
        <is>
          <t>Persona 11</t>
        </is>
      </c>
      <c r="B17" s="17" t="inlineStr"/>
      <c r="C17" s="18" t="inlineStr"/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8" t="inlineStr"/>
      <c r="R17" s="18" t="inlineStr"/>
      <c r="S17" s="18" t="inlineStr"/>
      <c r="T17" s="18" t="inlineStr"/>
      <c r="U17" s="18" t="inlineStr"/>
      <c r="V17" s="18" t="inlineStr"/>
      <c r="W17" s="18" t="inlineStr"/>
      <c r="X17" s="18" t="inlineStr"/>
      <c r="Y17" s="18" t="inlineStr"/>
      <c r="Z17" s="18" t="inlineStr"/>
      <c r="AA17" s="18" t="inlineStr"/>
      <c r="AB17" s="18" t="inlineStr"/>
      <c r="AC17" s="18" t="inlineStr"/>
      <c r="AD17" s="18" t="inlineStr"/>
      <c r="AE17" s="18" t="inlineStr"/>
      <c r="AF17" s="18" t="inlineStr"/>
      <c r="AG17" s="18" t="inlineStr"/>
      <c r="AI17" s="19">
        <f>COUNTIF(C17:AG17,"N")</f>
        <v/>
      </c>
      <c r="AJ17" s="19">
        <f>SUMPRODUCT((C$5:AG$5&lt;&gt;"")*(WEEKDAY(DATE($B$2,$B$3,IF(C$5:AG$5="",1,C$5:AG$5)),2)&gt;5)*ISNUMBER(MATCH(C17:AG17,{"M";"T";"N"},0)))</f>
        <v/>
      </c>
      <c r="AK17" s="19">
        <f>COUNTIF(C17:AG17,"L")+COUNTIF(C17:AG17,"V")</f>
        <v/>
      </c>
    </row>
    <row r="18">
      <c r="A18" s="16" t="inlineStr">
        <is>
          <t>Persona 12</t>
        </is>
      </c>
      <c r="B18" s="17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  <c r="R18" s="18" t="inlineStr"/>
      <c r="S18" s="18" t="inlineStr"/>
      <c r="T18" s="18" t="inlineStr"/>
      <c r="U18" s="18" t="inlineStr"/>
      <c r="V18" s="18" t="inlineStr"/>
      <c r="W18" s="18" t="inlineStr"/>
      <c r="X18" s="18" t="inlineStr"/>
      <c r="Y18" s="18" t="inlineStr"/>
      <c r="Z18" s="18" t="inlineStr"/>
      <c r="AA18" s="18" t="inlineStr"/>
      <c r="AB18" s="18" t="inlineStr"/>
      <c r="AC18" s="18" t="inlineStr"/>
      <c r="AD18" s="18" t="inlineStr"/>
      <c r="AE18" s="18" t="inlineStr"/>
      <c r="AF18" s="18" t="inlineStr"/>
      <c r="AG18" s="18" t="inlineStr"/>
      <c r="AI18" s="19">
        <f>COUNTIF(C18:AG18,"N")</f>
        <v/>
      </c>
      <c r="AJ18" s="19">
        <f>SUMPRODUCT((C$5:AG$5&lt;&gt;"")*(WEEKDAY(DATE($B$2,$B$3,IF(C$5:AG$5="",1,C$5:AG$5)),2)&gt;5)*ISNUMBER(MATCH(C18:AG18,{"M";"T";"N"},0)))</f>
        <v/>
      </c>
      <c r="AK18" s="19">
        <f>COUNTIF(C18:AG18,"L")+COUNTIF(C18:AG18,"V")</f>
        <v/>
      </c>
    </row>
    <row r="19">
      <c r="A19" s="16" t="inlineStr">
        <is>
          <t>Persona 13</t>
        </is>
      </c>
      <c r="B19" s="17" t="inlineStr"/>
      <c r="C19" s="18" t="inlineStr"/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  <c r="O19" s="18" t="inlineStr"/>
      <c r="P19" s="18" t="inlineStr"/>
      <c r="Q19" s="18" t="inlineStr"/>
      <c r="R19" s="18" t="inlineStr"/>
      <c r="S19" s="18" t="inlineStr"/>
      <c r="T19" s="18" t="inlineStr"/>
      <c r="U19" s="18" t="inlineStr"/>
      <c r="V19" s="18" t="inlineStr"/>
      <c r="W19" s="18" t="inlineStr"/>
      <c r="X19" s="18" t="inlineStr"/>
      <c r="Y19" s="18" t="inlineStr"/>
      <c r="Z19" s="18" t="inlineStr"/>
      <c r="AA19" s="18" t="inlineStr"/>
      <c r="AB19" s="18" t="inlineStr"/>
      <c r="AC19" s="18" t="inlineStr"/>
      <c r="AD19" s="18" t="inlineStr"/>
      <c r="AE19" s="18" t="inlineStr"/>
      <c r="AF19" s="18" t="inlineStr"/>
      <c r="AG19" s="18" t="inlineStr"/>
      <c r="AI19" s="19">
        <f>COUNTIF(C19:AG19,"N")</f>
        <v/>
      </c>
      <c r="AJ19" s="19">
        <f>SUMPRODUCT((C$5:AG$5&lt;&gt;"")*(WEEKDAY(DATE($B$2,$B$3,IF(C$5:AG$5="",1,C$5:AG$5)),2)&gt;5)*ISNUMBER(MATCH(C19:AG19,{"M";"T";"N"},0)))</f>
        <v/>
      </c>
      <c r="AK19" s="19">
        <f>COUNTIF(C19:AG19,"L")+COUNTIF(C19:AG19,"V")</f>
        <v/>
      </c>
    </row>
    <row r="20">
      <c r="A20" s="16" t="inlineStr">
        <is>
          <t>Persona 14</t>
        </is>
      </c>
      <c r="B20" s="17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8" t="inlineStr"/>
      <c r="L20" s="18" t="inlineStr"/>
      <c r="M20" s="18" t="inlineStr"/>
      <c r="N20" s="18" t="inlineStr"/>
      <c r="O20" s="18" t="inlineStr"/>
      <c r="P20" s="18" t="inlineStr"/>
      <c r="Q20" s="18" t="inlineStr"/>
      <c r="R20" s="18" t="inlineStr"/>
      <c r="S20" s="18" t="inlineStr"/>
      <c r="T20" s="18" t="inlineStr"/>
      <c r="U20" s="18" t="inlineStr"/>
      <c r="V20" s="18" t="inlineStr"/>
      <c r="W20" s="18" t="inlineStr"/>
      <c r="X20" s="18" t="inlineStr"/>
      <c r="Y20" s="18" t="inlineStr"/>
      <c r="Z20" s="18" t="inlineStr"/>
      <c r="AA20" s="18" t="inlineStr"/>
      <c r="AB20" s="18" t="inlineStr"/>
      <c r="AC20" s="18" t="inlineStr"/>
      <c r="AD20" s="18" t="inlineStr"/>
      <c r="AE20" s="18" t="inlineStr"/>
      <c r="AF20" s="18" t="inlineStr"/>
      <c r="AG20" s="18" t="inlineStr"/>
      <c r="AI20" s="19">
        <f>COUNTIF(C20:AG20,"N")</f>
        <v/>
      </c>
      <c r="AJ20" s="19">
        <f>SUMPRODUCT((C$5:AG$5&lt;&gt;"")*(WEEKDAY(DATE($B$2,$B$3,IF(C$5:AG$5="",1,C$5:AG$5)),2)&gt;5)*ISNUMBER(MATCH(C20:AG20,{"M";"T";"N"},0)))</f>
        <v/>
      </c>
      <c r="AK20" s="19">
        <f>COUNTIF(C20:AG20,"L")+COUNTIF(C20:AG20,"V")</f>
        <v/>
      </c>
    </row>
    <row r="22">
      <c r="A22" s="6" t="inlineStr">
        <is>
          <t>Cobertura por día</t>
        </is>
      </c>
    </row>
    <row r="23">
      <c r="A23" s="20" t="inlineStr">
        <is>
          <t>Personas de M</t>
        </is>
      </c>
      <c r="B23" s="17" t="inlineStr"/>
      <c r="C23" s="21">
        <f>IF(C$5="","",COUNTIF(C$7:C$20,"M"))</f>
        <v/>
      </c>
      <c r="D23" s="21">
        <f>IF(D$5="","",COUNTIF(D$7:D$20,"M"))</f>
        <v/>
      </c>
      <c r="E23" s="21">
        <f>IF(E$5="","",COUNTIF(E$7:E$20,"M"))</f>
        <v/>
      </c>
      <c r="F23" s="21">
        <f>IF(F$5="","",COUNTIF(F$7:F$20,"M"))</f>
        <v/>
      </c>
      <c r="G23" s="21">
        <f>IF(G$5="","",COUNTIF(G$7:G$20,"M"))</f>
        <v/>
      </c>
      <c r="H23" s="21">
        <f>IF(H$5="","",COUNTIF(H$7:H$20,"M"))</f>
        <v/>
      </c>
      <c r="I23" s="21">
        <f>IF(I$5="","",COUNTIF(I$7:I$20,"M"))</f>
        <v/>
      </c>
      <c r="J23" s="21">
        <f>IF(J$5="","",COUNTIF(J$7:J$20,"M"))</f>
        <v/>
      </c>
      <c r="K23" s="21">
        <f>IF(K$5="","",COUNTIF(K$7:K$20,"M"))</f>
        <v/>
      </c>
      <c r="L23" s="21">
        <f>IF(L$5="","",COUNTIF(L$7:L$20,"M"))</f>
        <v/>
      </c>
      <c r="M23" s="21">
        <f>IF(M$5="","",COUNTIF(M$7:M$20,"M"))</f>
        <v/>
      </c>
      <c r="N23" s="21">
        <f>IF(N$5="","",COUNTIF(N$7:N$20,"M"))</f>
        <v/>
      </c>
      <c r="O23" s="21">
        <f>IF(O$5="","",COUNTIF(O$7:O$20,"M"))</f>
        <v/>
      </c>
      <c r="P23" s="21">
        <f>IF(P$5="","",COUNTIF(P$7:P$20,"M"))</f>
        <v/>
      </c>
      <c r="Q23" s="21">
        <f>IF(Q$5="","",COUNTIF(Q$7:Q$20,"M"))</f>
        <v/>
      </c>
      <c r="R23" s="21">
        <f>IF(R$5="","",COUNTIF(R$7:R$20,"M"))</f>
        <v/>
      </c>
      <c r="S23" s="21">
        <f>IF(S$5="","",COUNTIF(S$7:S$20,"M"))</f>
        <v/>
      </c>
      <c r="T23" s="21">
        <f>IF(T$5="","",COUNTIF(T$7:T$20,"M"))</f>
        <v/>
      </c>
      <c r="U23" s="21">
        <f>IF(U$5="","",COUNTIF(U$7:U$20,"M"))</f>
        <v/>
      </c>
      <c r="V23" s="21">
        <f>IF(V$5="","",COUNTIF(V$7:V$20,"M"))</f>
        <v/>
      </c>
      <c r="W23" s="21">
        <f>IF(W$5="","",COUNTIF(W$7:W$20,"M"))</f>
        <v/>
      </c>
      <c r="X23" s="21">
        <f>IF(X$5="","",COUNTIF(X$7:X$20,"M"))</f>
        <v/>
      </c>
      <c r="Y23" s="21">
        <f>IF(Y$5="","",COUNTIF(Y$7:Y$20,"M"))</f>
        <v/>
      </c>
      <c r="Z23" s="21">
        <f>IF(Z$5="","",COUNTIF(Z$7:Z$20,"M"))</f>
        <v/>
      </c>
      <c r="AA23" s="21">
        <f>IF(AA$5="","",COUNTIF(AA$7:AA$20,"M"))</f>
        <v/>
      </c>
      <c r="AB23" s="21">
        <f>IF(AB$5="","",COUNTIF(AB$7:AB$20,"M"))</f>
        <v/>
      </c>
      <c r="AC23" s="21">
        <f>IF(AC$5="","",COUNTIF(AC$7:AC$20,"M"))</f>
        <v/>
      </c>
      <c r="AD23" s="21">
        <f>IF(AD$5="","",COUNTIF(AD$7:AD$20,"M"))</f>
        <v/>
      </c>
      <c r="AE23" s="21">
        <f>IF(AE$5="","",COUNTIF(AE$7:AE$20,"M"))</f>
        <v/>
      </c>
      <c r="AF23" s="21">
        <f>IF(AF$5="","",COUNTIF(AF$7:AF$20,"M"))</f>
        <v/>
      </c>
      <c r="AG23" s="21">
        <f>IF(AG$5="","",COUNTIF(AG$7:AG$20,"M"))</f>
        <v/>
      </c>
    </row>
    <row r="24">
      <c r="A24" s="20" t="inlineStr">
        <is>
          <t>Personas de T</t>
        </is>
      </c>
      <c r="B24" s="17" t="inlineStr"/>
      <c r="C24" s="21">
        <f>IF(C$5="","",COUNTIF(C$7:C$20,"T"))</f>
        <v/>
      </c>
      <c r="D24" s="21">
        <f>IF(D$5="","",COUNTIF(D$7:D$20,"T"))</f>
        <v/>
      </c>
      <c r="E24" s="21">
        <f>IF(E$5="","",COUNTIF(E$7:E$20,"T"))</f>
        <v/>
      </c>
      <c r="F24" s="21">
        <f>IF(F$5="","",COUNTIF(F$7:F$20,"T"))</f>
        <v/>
      </c>
      <c r="G24" s="21">
        <f>IF(G$5="","",COUNTIF(G$7:G$20,"T"))</f>
        <v/>
      </c>
      <c r="H24" s="21">
        <f>IF(H$5="","",COUNTIF(H$7:H$20,"T"))</f>
        <v/>
      </c>
      <c r="I24" s="21">
        <f>IF(I$5="","",COUNTIF(I$7:I$20,"T"))</f>
        <v/>
      </c>
      <c r="J24" s="21">
        <f>IF(J$5="","",COUNTIF(J$7:J$20,"T"))</f>
        <v/>
      </c>
      <c r="K24" s="21">
        <f>IF(K$5="","",COUNTIF(K$7:K$20,"T"))</f>
        <v/>
      </c>
      <c r="L24" s="21">
        <f>IF(L$5="","",COUNTIF(L$7:L$20,"T"))</f>
        <v/>
      </c>
      <c r="M24" s="21">
        <f>IF(M$5="","",COUNTIF(M$7:M$20,"T"))</f>
        <v/>
      </c>
      <c r="N24" s="21">
        <f>IF(N$5="","",COUNTIF(N$7:N$20,"T"))</f>
        <v/>
      </c>
      <c r="O24" s="21">
        <f>IF(O$5="","",COUNTIF(O$7:O$20,"T"))</f>
        <v/>
      </c>
      <c r="P24" s="21">
        <f>IF(P$5="","",COUNTIF(P$7:P$20,"T"))</f>
        <v/>
      </c>
      <c r="Q24" s="21">
        <f>IF(Q$5="","",COUNTIF(Q$7:Q$20,"T"))</f>
        <v/>
      </c>
      <c r="R24" s="21">
        <f>IF(R$5="","",COUNTIF(R$7:R$20,"T"))</f>
        <v/>
      </c>
      <c r="S24" s="21">
        <f>IF(S$5="","",COUNTIF(S$7:S$20,"T"))</f>
        <v/>
      </c>
      <c r="T24" s="21">
        <f>IF(T$5="","",COUNTIF(T$7:T$20,"T"))</f>
        <v/>
      </c>
      <c r="U24" s="21">
        <f>IF(U$5="","",COUNTIF(U$7:U$20,"T"))</f>
        <v/>
      </c>
      <c r="V24" s="21">
        <f>IF(V$5="","",COUNTIF(V$7:V$20,"T"))</f>
        <v/>
      </c>
      <c r="W24" s="21">
        <f>IF(W$5="","",COUNTIF(W$7:W$20,"T"))</f>
        <v/>
      </c>
      <c r="X24" s="21">
        <f>IF(X$5="","",COUNTIF(X$7:X$20,"T"))</f>
        <v/>
      </c>
      <c r="Y24" s="21">
        <f>IF(Y$5="","",COUNTIF(Y$7:Y$20,"T"))</f>
        <v/>
      </c>
      <c r="Z24" s="21">
        <f>IF(Z$5="","",COUNTIF(Z$7:Z$20,"T"))</f>
        <v/>
      </c>
      <c r="AA24" s="21">
        <f>IF(AA$5="","",COUNTIF(AA$7:AA$20,"T"))</f>
        <v/>
      </c>
      <c r="AB24" s="21">
        <f>IF(AB$5="","",COUNTIF(AB$7:AB$20,"T"))</f>
        <v/>
      </c>
      <c r="AC24" s="21">
        <f>IF(AC$5="","",COUNTIF(AC$7:AC$20,"T"))</f>
        <v/>
      </c>
      <c r="AD24" s="21">
        <f>IF(AD$5="","",COUNTIF(AD$7:AD$20,"T"))</f>
        <v/>
      </c>
      <c r="AE24" s="21">
        <f>IF(AE$5="","",COUNTIF(AE$7:AE$20,"T"))</f>
        <v/>
      </c>
      <c r="AF24" s="21">
        <f>IF(AF$5="","",COUNTIF(AF$7:AF$20,"T"))</f>
        <v/>
      </c>
      <c r="AG24" s="21">
        <f>IF(AG$5="","",COUNTIF(AG$7:AG$20,"T"))</f>
        <v/>
      </c>
    </row>
    <row r="25">
      <c r="A25" s="20" t="inlineStr">
        <is>
          <t>Personas de N</t>
        </is>
      </c>
      <c r="B25" s="17" t="inlineStr"/>
      <c r="C25" s="21">
        <f>IF(C$5="","",COUNTIF(C$7:C$20,"N"))</f>
        <v/>
      </c>
      <c r="D25" s="21">
        <f>IF(D$5="","",COUNTIF(D$7:D$20,"N"))</f>
        <v/>
      </c>
      <c r="E25" s="21">
        <f>IF(E$5="","",COUNTIF(E$7:E$20,"N"))</f>
        <v/>
      </c>
      <c r="F25" s="21">
        <f>IF(F$5="","",COUNTIF(F$7:F$20,"N"))</f>
        <v/>
      </c>
      <c r="G25" s="21">
        <f>IF(G$5="","",COUNTIF(G$7:G$20,"N"))</f>
        <v/>
      </c>
      <c r="H25" s="21">
        <f>IF(H$5="","",COUNTIF(H$7:H$20,"N"))</f>
        <v/>
      </c>
      <c r="I25" s="21">
        <f>IF(I$5="","",COUNTIF(I$7:I$20,"N"))</f>
        <v/>
      </c>
      <c r="J25" s="21">
        <f>IF(J$5="","",COUNTIF(J$7:J$20,"N"))</f>
        <v/>
      </c>
      <c r="K25" s="21">
        <f>IF(K$5="","",COUNTIF(K$7:K$20,"N"))</f>
        <v/>
      </c>
      <c r="L25" s="21">
        <f>IF(L$5="","",COUNTIF(L$7:L$20,"N"))</f>
        <v/>
      </c>
      <c r="M25" s="21">
        <f>IF(M$5="","",COUNTIF(M$7:M$20,"N"))</f>
        <v/>
      </c>
      <c r="N25" s="21">
        <f>IF(N$5="","",COUNTIF(N$7:N$20,"N"))</f>
        <v/>
      </c>
      <c r="O25" s="21">
        <f>IF(O$5="","",COUNTIF(O$7:O$20,"N"))</f>
        <v/>
      </c>
      <c r="P25" s="21">
        <f>IF(P$5="","",COUNTIF(P$7:P$20,"N"))</f>
        <v/>
      </c>
      <c r="Q25" s="21">
        <f>IF(Q$5="","",COUNTIF(Q$7:Q$20,"N"))</f>
        <v/>
      </c>
      <c r="R25" s="21">
        <f>IF(R$5="","",COUNTIF(R$7:R$20,"N"))</f>
        <v/>
      </c>
      <c r="S25" s="21">
        <f>IF(S$5="","",COUNTIF(S$7:S$20,"N"))</f>
        <v/>
      </c>
      <c r="T25" s="21">
        <f>IF(T$5="","",COUNTIF(T$7:T$20,"N"))</f>
        <v/>
      </c>
      <c r="U25" s="21">
        <f>IF(U$5="","",COUNTIF(U$7:U$20,"N"))</f>
        <v/>
      </c>
      <c r="V25" s="21">
        <f>IF(V$5="","",COUNTIF(V$7:V$20,"N"))</f>
        <v/>
      </c>
      <c r="W25" s="21">
        <f>IF(W$5="","",COUNTIF(W$7:W$20,"N"))</f>
        <v/>
      </c>
      <c r="X25" s="21">
        <f>IF(X$5="","",COUNTIF(X$7:X$20,"N"))</f>
        <v/>
      </c>
      <c r="Y25" s="21">
        <f>IF(Y$5="","",COUNTIF(Y$7:Y$20,"N"))</f>
        <v/>
      </c>
      <c r="Z25" s="21">
        <f>IF(Z$5="","",COUNTIF(Z$7:Z$20,"N"))</f>
        <v/>
      </c>
      <c r="AA25" s="21">
        <f>IF(AA$5="","",COUNTIF(AA$7:AA$20,"N"))</f>
        <v/>
      </c>
      <c r="AB25" s="21">
        <f>IF(AB$5="","",COUNTIF(AB$7:AB$20,"N"))</f>
        <v/>
      </c>
      <c r="AC25" s="21">
        <f>IF(AC$5="","",COUNTIF(AC$7:AC$20,"N"))</f>
        <v/>
      </c>
      <c r="AD25" s="21">
        <f>IF(AD$5="","",COUNTIF(AD$7:AD$20,"N"))</f>
        <v/>
      </c>
      <c r="AE25" s="21">
        <f>IF(AE$5="","",COUNTIF(AE$7:AE$20,"N"))</f>
        <v/>
      </c>
      <c r="AF25" s="21">
        <f>IF(AF$5="","",COUNTIF(AF$7:AF$20,"N"))</f>
        <v/>
      </c>
      <c r="AG25" s="21">
        <f>IF(AG$5="","",COUNTIF(AG$7:AG$20,"N"))</f>
        <v/>
      </c>
    </row>
    <row r="27">
      <c r="A27" s="22" t="inlineStr">
        <is>
          <t>Mínimo por turno (M/T/N) →</t>
        </is>
      </c>
      <c r="C27" s="23" t="n">
        <v>3</v>
      </c>
      <c r="D27" s="23" t="n">
        <v>3</v>
      </c>
      <c r="E27" s="23" t="n">
        <v>2</v>
      </c>
      <c r="F27" s="24" t="inlineStr">
        <is>
          <t>← edita estos tres valores</t>
        </is>
      </c>
    </row>
    <row r="30">
      <c r="A30" s="25" t="inlineStr">
        <is>
          <t>Esta plantilla cuenta y avisa, pero no puede vigilar descansos legales ni equidad. Auditoría gratuita del cuadrante: www.shiftia.es/recursos/auditoria-cuadrante</t>
        </is>
      </c>
    </row>
  </sheetData>
  <mergeCells count="3">
    <mergeCell ref="A1:F1"/>
    <mergeCell ref="D2:N3"/>
    <mergeCell ref="A30:AG30"/>
  </mergeCells>
  <conditionalFormatting sqref="C7:AG20">
    <cfRule type="cellIs" priority="1" operator="equal" dxfId="0">
      <formula>"N"</formula>
    </cfRule>
    <cfRule type="cellIs" priority="2" operator="equal" dxfId="1">
      <formula>"L"</formula>
    </cfRule>
    <cfRule type="cellIs" priority="3" operator="equal" dxfId="1">
      <formula>"V"</formula>
    </cfRule>
    <cfRule type="cellIs" priority="4" operator="equal" dxfId="1">
      <formula>"B"</formula>
    </cfRule>
    <cfRule type="expression" priority="5" dxfId="2">
      <formula>AND(C$5&lt;&gt;"",WEEKDAY(DATE($B$2,$B$3,C$5),2)&gt;5,C7="")</formula>
    </cfRule>
  </conditionalFormatting>
  <conditionalFormatting sqref="C23:AG23">
    <cfRule type="expression" priority="6" dxfId="3">
      <formula>AND(C$5&lt;&gt;"",C23&lt;$C$27)</formula>
    </cfRule>
  </conditionalFormatting>
  <conditionalFormatting sqref="C24:AG24">
    <cfRule type="expression" priority="7" dxfId="3">
      <formula>AND(C$5&lt;&gt;"",C24&lt;$D$27)</formula>
    </cfRule>
  </conditionalFormatting>
  <conditionalFormatting sqref="C25:AG25">
    <cfRule type="expression" priority="8" dxfId="3">
      <formula>AND(C$5&lt;&gt;"",C25&lt;$E$27)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2026-07-07T07:54:09Z</dcterms:created>
  <dcterms:modified xsi:type="dcterms:W3CDTF">2026-07-07T07:54:09Z</dcterms:modified>
</cp:coreProperties>
</file>